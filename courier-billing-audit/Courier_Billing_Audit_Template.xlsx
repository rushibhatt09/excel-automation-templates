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Shipment Data" sheetId="3" state="visible" r:id="rId3"/>
    <sheet xmlns:r="http://schemas.openxmlformats.org/officeDocument/2006/relationships" name="Audit" sheetId="4" state="visible" r:id="rId4"/>
    <sheet xmlns:r="http://schemas.openxmlformats.org/officeDocument/2006/relationships"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s 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b val="1"/>
    </font>
    <font>
      <name val="Arial"/>
      <sz val="11"/>
    </font>
    <font>
      <name val="Arial"/>
      <b val="1"/>
      <color rgb="001F4E5F"/>
      <sz val="12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666666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9" fontId="7" fillId="3" borderId="1" pivotButton="0" quotePrefix="0" xfId="0"/>
    <xf numFmtId="0" fontId="8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2" fontId="7" fillId="0" borderId="1" pivotButton="0" quotePrefix="0" xfId="0"/>
    <xf numFmtId="0" fontId="9" fillId="0" borderId="1" pivotButton="0" quotePrefix="0" xfId="0"/>
    <xf numFmtId="2" fontId="9" fillId="0" borderId="1" pivotButton="0" quotePrefix="0" xfId="0"/>
    <xf numFmtId="2" fontId="6" fillId="0" borderId="1" pivotButton="0" quotePrefix="0" xfId="0"/>
    <xf numFmtId="164" fontId="9" fillId="0" borderId="1" pivotButton="0" quotePrefix="0" xfId="0"/>
    <xf numFmtId="164" fontId="6" fillId="0" borderId="1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Courier Billing Audit Template</t>
        </is>
      </c>
    </row>
    <row r="4">
      <c r="B4" s="2" t="inlineStr">
        <is>
          <t>What this does</t>
        </is>
      </c>
    </row>
    <row r="5">
      <c r="B5" s="3" t="inlineStr">
        <is>
          <t>Compares what your courier actually billed you against what your contracted rate card says you should have been charged - per shipment - and flags overcharges automatically.</t>
        </is>
      </c>
    </row>
    <row r="6">
      <c r="B6" s="3" t="n"/>
    </row>
    <row r="7">
      <c r="B7" s="3" t="inlineStr">
        <is>
          <t>How to use it</t>
        </is>
      </c>
    </row>
    <row r="8">
      <c r="B8" s="3" t="inlineStr">
        <is>
          <t>1. Go to the 'Rate Card' tab and replace the sample zone rates with your own courier contract rates (cells shaded yellow).</t>
        </is>
      </c>
    </row>
    <row r="9">
      <c r="B9" s="3" t="inlineStr">
        <is>
          <t>2. Go to the 'Shipment Data' tab and paste your own shipment export, replacing the sample rows (keep the same columns).</t>
        </is>
      </c>
    </row>
    <row r="10">
      <c r="B10" s="3" t="inlineStr">
        <is>
          <t>3. Open the 'Audit' tab - every row recalculates automatically and shows a Verdict: MATCH, OVERCHARGED, or UNDERBILLED.</t>
        </is>
      </c>
    </row>
    <row r="11">
      <c r="B11" s="3" t="inlineStr">
        <is>
          <t>4. Check the 'Summary Dashboard' tab for total overcharge amount and a zone-wise breakdown - this is your refund claim list.</t>
        </is>
      </c>
    </row>
    <row r="12">
      <c r="B12" s="3" t="n"/>
    </row>
    <row r="13">
      <c r="B13" s="3" t="inlineStr">
        <is>
          <t>Notes</t>
        </is>
      </c>
    </row>
    <row r="14">
      <c r="B14" s="3" t="inlineStr">
        <is>
          <t>- All figures are in INR (Rs). Blue cells = inputs you edit. Black cells = formulas, don't overtype them.</t>
        </is>
      </c>
    </row>
    <row r="15">
      <c r="B15" s="3" t="inlineStr">
        <is>
          <t>- Chargeable weight = higher of actual weight and volumetric weight (L x W x H / 5000), rounded up to the nearest 0.5 kg slab.</t>
        </is>
      </c>
    </row>
    <row r="16">
      <c r="B16" s="3" t="inlineStr">
        <is>
          <t>- This is a generic template with illustrative sample data - it is not tied to any specific courier or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4" customWidth="1" min="4" max="4"/>
    <col width="24" customWidth="1" min="5" max="5"/>
    <col width="22" customWidth="1" min="6" max="6"/>
    <col width="20" customWidth="1" min="7" max="7"/>
    <col width="24" customWidth="1" min="8" max="8"/>
  </cols>
  <sheetData>
    <row r="1">
      <c r="A1" s="4" t="inlineStr">
        <is>
          <t>Zone Rate Card - SAMPLE VALUES, replace with your own courier contract</t>
        </is>
      </c>
    </row>
    <row r="3">
      <c r="A3" s="5" t="inlineStr">
        <is>
          <t>Zone Code</t>
        </is>
      </c>
      <c r="B3" s="5" t="inlineStr">
        <is>
          <t>Zone Name</t>
        </is>
      </c>
      <c r="C3" s="5" t="inlineStr">
        <is>
          <t>Base Weight (kg)</t>
        </is>
      </c>
      <c r="D3" s="5" t="inlineStr">
        <is>
          <t>Base Rate (Rs)</t>
        </is>
      </c>
      <c r="E3" s="5" t="inlineStr">
        <is>
          <t>Additional Rate per 0.5kg (Rs)</t>
        </is>
      </c>
      <c r="F3" s="5" t="inlineStr">
        <is>
          <t>COD Charge (% of order value)</t>
        </is>
      </c>
      <c r="G3" s="5" t="inlineStr">
        <is>
          <t>COD Minimum Charge (Rs)</t>
        </is>
      </c>
      <c r="H3" s="5" t="inlineStr">
        <is>
          <t>RTO Charge (% of forward freight)</t>
        </is>
      </c>
    </row>
    <row r="4">
      <c r="A4" s="6" t="inlineStr">
        <is>
          <t>A</t>
        </is>
      </c>
      <c r="B4" s="6" t="inlineStr">
        <is>
          <t>Local (Same City)</t>
        </is>
      </c>
      <c r="C4" s="7" t="n">
        <v>0.5</v>
      </c>
      <c r="D4" s="8" t="n">
        <v>35</v>
      </c>
      <c r="E4" s="8" t="n">
        <v>15</v>
      </c>
      <c r="F4" s="9" t="n">
        <v>0.02</v>
      </c>
      <c r="G4" s="8" t="n">
        <v>30</v>
      </c>
      <c r="H4" s="10" t="n">
        <v>1</v>
      </c>
    </row>
    <row r="5">
      <c r="A5" s="6" t="inlineStr">
        <is>
          <t>B</t>
        </is>
      </c>
      <c r="B5" s="6" t="inlineStr">
        <is>
          <t>Regional (Within State)</t>
        </is>
      </c>
      <c r="C5" s="7" t="n">
        <v>0.5</v>
      </c>
      <c r="D5" s="8" t="n">
        <v>45</v>
      </c>
      <c r="E5" s="8" t="n">
        <v>20</v>
      </c>
      <c r="F5" s="9" t="n">
        <v>0.02</v>
      </c>
      <c r="G5" s="8" t="n">
        <v>30</v>
      </c>
      <c r="H5" s="10" t="n">
        <v>1</v>
      </c>
    </row>
    <row r="6">
      <c r="A6" s="6" t="inlineStr">
        <is>
          <t>C</t>
        </is>
      </c>
      <c r="B6" s="6" t="inlineStr">
        <is>
          <t>Metro to Metro</t>
        </is>
      </c>
      <c r="C6" s="7" t="n">
        <v>0.5</v>
      </c>
      <c r="D6" s="8" t="n">
        <v>55</v>
      </c>
      <c r="E6" s="8" t="n">
        <v>25</v>
      </c>
      <c r="F6" s="9" t="n">
        <v>0.02</v>
      </c>
      <c r="G6" s="8" t="n">
        <v>30</v>
      </c>
      <c r="H6" s="10" t="n">
        <v>1</v>
      </c>
    </row>
    <row r="7">
      <c r="A7" s="6" t="inlineStr">
        <is>
          <t>D</t>
        </is>
      </c>
      <c r="B7" s="6" t="inlineStr">
        <is>
          <t>Rest of India</t>
        </is>
      </c>
      <c r="C7" s="7" t="n">
        <v>0.5</v>
      </c>
      <c r="D7" s="8" t="n">
        <v>65</v>
      </c>
      <c r="E7" s="8" t="n">
        <v>30</v>
      </c>
      <c r="F7" s="9" t="n">
        <v>0.02</v>
      </c>
      <c r="G7" s="8" t="n">
        <v>30</v>
      </c>
      <c r="H7" s="10" t="n">
        <v>1</v>
      </c>
    </row>
    <row r="8">
      <c r="A8" s="6" t="inlineStr">
        <is>
          <t>E</t>
        </is>
      </c>
      <c r="B8" s="6" t="inlineStr">
        <is>
          <t>Special (NE / J&amp;K / Ladakh / A&amp;N Islands)</t>
        </is>
      </c>
      <c r="C8" s="7" t="n">
        <v>0.5</v>
      </c>
      <c r="D8" s="8" t="n">
        <v>95</v>
      </c>
      <c r="E8" s="8" t="n">
        <v>45</v>
      </c>
      <c r="F8" s="9" t="n">
        <v>0.02</v>
      </c>
      <c r="G8" s="8" t="n">
        <v>30</v>
      </c>
      <c r="H8" s="10" t="n">
        <v>1</v>
      </c>
    </row>
    <row r="11">
      <c r="A11" s="11" t="inlineStr">
        <is>
          <t>Blue/yellow cells are sample inputs - overwrite with your own rate card. Add more zone rows if your courier uses a different zone map.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22" customWidth="1" min="11" max="11"/>
    <col width="22" customWidth="1" min="12" max="12"/>
  </cols>
  <sheetData>
    <row r="1">
      <c r="A1" s="5" t="inlineStr">
        <is>
          <t>AWB / Tracking No</t>
        </is>
      </c>
      <c r="B1" s="5" t="inlineStr">
        <is>
          <t>Order ID</t>
        </is>
      </c>
      <c r="C1" s="5" t="inlineStr">
        <is>
          <t>Zone</t>
        </is>
      </c>
      <c r="D1" s="5" t="inlineStr">
        <is>
          <t>Payment Mode</t>
        </is>
      </c>
      <c r="E1" s="5" t="inlineStr">
        <is>
          <t>Order Value (Rs)</t>
        </is>
      </c>
      <c r="F1" s="5" t="inlineStr">
        <is>
          <t>Actual Weight (kg)</t>
        </is>
      </c>
      <c r="G1" s="5" t="inlineStr">
        <is>
          <t>Length (cm)</t>
        </is>
      </c>
      <c r="H1" s="5" t="inlineStr">
        <is>
          <t>Width (cm)</t>
        </is>
      </c>
      <c r="I1" s="5" t="inlineStr">
        <is>
          <t>Height (cm)</t>
        </is>
      </c>
      <c r="J1" s="5" t="inlineStr">
        <is>
          <t>Shipment Status</t>
        </is>
      </c>
      <c r="K1" s="5" t="inlineStr">
        <is>
          <t>Billed Weight by Courier (kg)</t>
        </is>
      </c>
      <c r="L1" s="5" t="inlineStr">
        <is>
          <t>Billed Amount by Courier (Rs)</t>
        </is>
      </c>
    </row>
    <row r="2">
      <c r="A2" s="12" t="inlineStr">
        <is>
          <t>AWB1001</t>
        </is>
      </c>
      <c r="B2" s="12" t="inlineStr">
        <is>
          <t>ORD5001</t>
        </is>
      </c>
      <c r="C2" s="12" t="inlineStr">
        <is>
          <t>A</t>
        </is>
      </c>
      <c r="D2" s="12" t="inlineStr">
        <is>
          <t>Prepaid</t>
        </is>
      </c>
      <c r="E2" s="13" t="n">
        <v>899</v>
      </c>
      <c r="F2" s="14" t="n">
        <v>0.4</v>
      </c>
      <c r="G2" s="14" t="n">
        <v>20</v>
      </c>
      <c r="H2" s="14" t="n">
        <v>15</v>
      </c>
      <c r="I2" s="14" t="n">
        <v>10</v>
      </c>
      <c r="J2" s="12" t="inlineStr">
        <is>
          <t>Delivered</t>
        </is>
      </c>
      <c r="K2" s="14" t="n">
        <v>1</v>
      </c>
      <c r="L2" s="13" t="n">
        <v>75</v>
      </c>
    </row>
    <row r="3">
      <c r="A3" s="12" t="inlineStr">
        <is>
          <t>AWB1002</t>
        </is>
      </c>
      <c r="B3" s="12" t="inlineStr">
        <is>
          <t>ORD5002</t>
        </is>
      </c>
      <c r="C3" s="12" t="inlineStr">
        <is>
          <t>B</t>
        </is>
      </c>
      <c r="D3" s="12" t="inlineStr">
        <is>
          <t>COD</t>
        </is>
      </c>
      <c r="E3" s="13" t="n">
        <v>1499</v>
      </c>
      <c r="F3" s="14" t="n">
        <v>0.8</v>
      </c>
      <c r="G3" s="14" t="n">
        <v>25</v>
      </c>
      <c r="H3" s="14" t="n">
        <v>20</v>
      </c>
      <c r="I3" s="14" t="n">
        <v>12</v>
      </c>
      <c r="J3" s="12" t="inlineStr">
        <is>
          <t>Delivered</t>
        </is>
      </c>
      <c r="K3" s="14" t="n">
        <v>1.5</v>
      </c>
      <c r="L3" s="13" t="n">
        <v>115</v>
      </c>
    </row>
    <row r="4">
      <c r="A4" s="12" t="inlineStr">
        <is>
          <t>AWB1003</t>
        </is>
      </c>
      <c r="B4" s="12" t="inlineStr">
        <is>
          <t>ORD5003</t>
        </is>
      </c>
      <c r="C4" s="12" t="inlineStr">
        <is>
          <t>C</t>
        </is>
      </c>
      <c r="D4" s="12" t="inlineStr">
        <is>
          <t>Prepaid</t>
        </is>
      </c>
      <c r="E4" s="13" t="n">
        <v>2199</v>
      </c>
      <c r="F4" s="14" t="n">
        <v>1.2</v>
      </c>
      <c r="G4" s="14" t="n">
        <v>30</v>
      </c>
      <c r="H4" s="14" t="n">
        <v>25</v>
      </c>
      <c r="I4" s="14" t="n">
        <v>15</v>
      </c>
      <c r="J4" s="12" t="inlineStr">
        <is>
          <t>Delivered</t>
        </is>
      </c>
      <c r="K4" s="14" t="n">
        <v>2.5</v>
      </c>
      <c r="L4" s="13" t="n">
        <v>173</v>
      </c>
    </row>
    <row r="5">
      <c r="A5" s="12" t="inlineStr">
        <is>
          <t>AWB1004</t>
        </is>
      </c>
      <c r="B5" s="12" t="inlineStr">
        <is>
          <t>ORD5004</t>
        </is>
      </c>
      <c r="C5" s="12" t="inlineStr">
        <is>
          <t>D</t>
        </is>
      </c>
      <c r="D5" s="12" t="inlineStr">
        <is>
          <t>COD</t>
        </is>
      </c>
      <c r="E5" s="13" t="n">
        <v>999</v>
      </c>
      <c r="F5" s="14" t="n">
        <v>0.3</v>
      </c>
      <c r="G5" s="14" t="n">
        <v>15</v>
      </c>
      <c r="H5" s="14" t="n">
        <v>15</v>
      </c>
      <c r="I5" s="14" t="n">
        <v>10</v>
      </c>
      <c r="J5" s="12" t="inlineStr">
        <is>
          <t>RTO</t>
        </is>
      </c>
      <c r="K5" s="14" t="n">
        <v>0.5</v>
      </c>
      <c r="L5" s="13" t="n">
        <v>200</v>
      </c>
    </row>
    <row r="6">
      <c r="A6" s="12" t="inlineStr">
        <is>
          <t>AWB1005</t>
        </is>
      </c>
      <c r="B6" s="12" t="inlineStr">
        <is>
          <t>ORD5005</t>
        </is>
      </c>
      <c r="C6" s="12" t="inlineStr">
        <is>
          <t>E</t>
        </is>
      </c>
      <c r="D6" s="12" t="inlineStr">
        <is>
          <t>Prepaid</t>
        </is>
      </c>
      <c r="E6" s="13" t="n">
        <v>3499</v>
      </c>
      <c r="F6" s="14" t="n">
        <v>2.1</v>
      </c>
      <c r="G6" s="14" t="n">
        <v>40</v>
      </c>
      <c r="H6" s="14" t="n">
        <v>30</v>
      </c>
      <c r="I6" s="14" t="n">
        <v>20</v>
      </c>
      <c r="J6" s="12" t="inlineStr">
        <is>
          <t>Delivered</t>
        </is>
      </c>
      <c r="K6" s="14" t="n">
        <v>5</v>
      </c>
      <c r="L6" s="13" t="n">
        <v>560</v>
      </c>
    </row>
    <row r="7">
      <c r="A7" s="12" t="inlineStr">
        <is>
          <t>AWB1006</t>
        </is>
      </c>
      <c r="B7" s="12" t="inlineStr">
        <is>
          <t>ORD5006</t>
        </is>
      </c>
      <c r="C7" s="12" t="inlineStr">
        <is>
          <t>A</t>
        </is>
      </c>
      <c r="D7" s="12" t="inlineStr">
        <is>
          <t>COD</t>
        </is>
      </c>
      <c r="E7" s="13" t="n">
        <v>599</v>
      </c>
      <c r="F7" s="14" t="n">
        <v>0.2</v>
      </c>
      <c r="G7" s="14" t="n">
        <v>12</v>
      </c>
      <c r="H7" s="14" t="n">
        <v>10</v>
      </c>
      <c r="I7" s="14" t="n">
        <v>8</v>
      </c>
      <c r="J7" s="12" t="inlineStr">
        <is>
          <t>Delivered</t>
        </is>
      </c>
      <c r="K7" s="14" t="n">
        <v>0.5</v>
      </c>
      <c r="L7" s="13" t="n">
        <v>65</v>
      </c>
    </row>
    <row r="8">
      <c r="A8" s="12" t="inlineStr">
        <is>
          <t>AWB1007</t>
        </is>
      </c>
      <c r="B8" s="12" t="inlineStr">
        <is>
          <t>ORD5007</t>
        </is>
      </c>
      <c r="C8" s="12" t="inlineStr">
        <is>
          <t>B</t>
        </is>
      </c>
      <c r="D8" s="12" t="inlineStr">
        <is>
          <t>Prepaid</t>
        </is>
      </c>
      <c r="E8" s="13" t="n">
        <v>1299</v>
      </c>
      <c r="F8" s="14" t="n">
        <v>0.6</v>
      </c>
      <c r="G8" s="14" t="n">
        <v>22</v>
      </c>
      <c r="H8" s="14" t="n">
        <v>18</v>
      </c>
      <c r="I8" s="14" t="n">
        <v>10</v>
      </c>
      <c r="J8" s="12" t="inlineStr">
        <is>
          <t>Delivered</t>
        </is>
      </c>
      <c r="K8" s="14" t="n">
        <v>1</v>
      </c>
      <c r="L8" s="13" t="n">
        <v>80</v>
      </c>
    </row>
    <row r="9">
      <c r="A9" s="12" t="inlineStr">
        <is>
          <t>AWB1008</t>
        </is>
      </c>
      <c r="B9" s="12" t="inlineStr">
        <is>
          <t>ORD5008</t>
        </is>
      </c>
      <c r="C9" s="12" t="inlineStr">
        <is>
          <t>C</t>
        </is>
      </c>
      <c r="D9" s="12" t="inlineStr">
        <is>
          <t>COD</t>
        </is>
      </c>
      <c r="E9" s="13" t="n">
        <v>1799</v>
      </c>
      <c r="F9" s="14" t="n">
        <v>1</v>
      </c>
      <c r="G9" s="14" t="n">
        <v>28</v>
      </c>
      <c r="H9" s="14" t="n">
        <v>22</v>
      </c>
      <c r="I9" s="14" t="n">
        <v>14</v>
      </c>
      <c r="J9" s="12" t="inlineStr">
        <is>
          <t>RTO</t>
        </is>
      </c>
      <c r="K9" s="14" t="n">
        <v>2</v>
      </c>
      <c r="L9" s="13" t="n">
        <v>341</v>
      </c>
    </row>
    <row r="10">
      <c r="A10" s="12" t="inlineStr">
        <is>
          <t>AWB1009</t>
        </is>
      </c>
      <c r="B10" s="12" t="inlineStr">
        <is>
          <t>ORD5009</t>
        </is>
      </c>
      <c r="C10" s="12" t="inlineStr">
        <is>
          <t>D</t>
        </is>
      </c>
      <c r="D10" s="12" t="inlineStr">
        <is>
          <t>Prepaid</t>
        </is>
      </c>
      <c r="E10" s="13" t="n">
        <v>2599</v>
      </c>
      <c r="F10" s="14" t="n">
        <v>1.8</v>
      </c>
      <c r="G10" s="14" t="n">
        <v>35</v>
      </c>
      <c r="H10" s="14" t="n">
        <v>28</v>
      </c>
      <c r="I10" s="14" t="n">
        <v>18</v>
      </c>
      <c r="J10" s="12" t="inlineStr">
        <is>
          <t>Delivered</t>
        </is>
      </c>
      <c r="K10" s="14" t="n">
        <v>4</v>
      </c>
      <c r="L10" s="13" t="n">
        <v>305</v>
      </c>
    </row>
    <row r="11">
      <c r="A11" s="12" t="inlineStr">
        <is>
          <t>AWB1010</t>
        </is>
      </c>
      <c r="B11" s="12" t="inlineStr">
        <is>
          <t>ORD5010</t>
        </is>
      </c>
      <c r="C11" s="12" t="inlineStr">
        <is>
          <t>E</t>
        </is>
      </c>
      <c r="D11" s="12" t="inlineStr">
        <is>
          <t>COD</t>
        </is>
      </c>
      <c r="E11" s="13" t="n">
        <v>4299</v>
      </c>
      <c r="F11" s="14" t="n">
        <v>3</v>
      </c>
      <c r="G11" s="14" t="n">
        <v>45</v>
      </c>
      <c r="H11" s="14" t="n">
        <v>35</v>
      </c>
      <c r="I11" s="14" t="n">
        <v>25</v>
      </c>
      <c r="J11" s="12" t="inlineStr">
        <is>
          <t>Delivered</t>
        </is>
      </c>
      <c r="K11" s="14" t="n">
        <v>8</v>
      </c>
      <c r="L11" s="13" t="n">
        <v>926</v>
      </c>
    </row>
    <row r="12">
      <c r="A12" s="12" t="inlineStr">
        <is>
          <t>AWB1011</t>
        </is>
      </c>
      <c r="B12" s="12" t="inlineStr">
        <is>
          <t>ORD5011</t>
        </is>
      </c>
      <c r="C12" s="12" t="inlineStr">
        <is>
          <t>A</t>
        </is>
      </c>
      <c r="D12" s="12" t="inlineStr">
        <is>
          <t>Prepaid</t>
        </is>
      </c>
      <c r="E12" s="13" t="n">
        <v>749</v>
      </c>
      <c r="F12" s="14" t="n">
        <v>0.35</v>
      </c>
      <c r="G12" s="14" t="n">
        <v>18</v>
      </c>
      <c r="H12" s="14" t="n">
        <v>14</v>
      </c>
      <c r="I12" s="14" t="n">
        <v>9</v>
      </c>
      <c r="J12" s="12" t="inlineStr">
        <is>
          <t>Delivered</t>
        </is>
      </c>
      <c r="K12" s="14" t="n">
        <v>0.5</v>
      </c>
      <c r="L12" s="13" t="n">
        <v>55</v>
      </c>
    </row>
    <row r="13">
      <c r="A13" s="12" t="inlineStr">
        <is>
          <t>AWB1012</t>
        </is>
      </c>
      <c r="B13" s="12" t="inlineStr">
        <is>
          <t>ORD5012</t>
        </is>
      </c>
      <c r="C13" s="12" t="inlineStr">
        <is>
          <t>B</t>
        </is>
      </c>
      <c r="D13" s="12" t="inlineStr">
        <is>
          <t>Prepaid</t>
        </is>
      </c>
      <c r="E13" s="13" t="n">
        <v>1099</v>
      </c>
      <c r="F13" s="14" t="n">
        <v>0.5</v>
      </c>
      <c r="G13" s="14" t="n">
        <v>20</v>
      </c>
      <c r="H13" s="14" t="n">
        <v>16</v>
      </c>
      <c r="I13" s="14" t="n">
        <v>11</v>
      </c>
      <c r="J13" s="12" t="inlineStr">
        <is>
          <t>Delivered</t>
        </is>
      </c>
      <c r="K13" s="14" t="n">
        <v>1</v>
      </c>
      <c r="L13" s="13" t="n">
        <v>45</v>
      </c>
    </row>
    <row r="16">
      <c r="A16" s="11" t="inlineStr">
        <is>
          <t>Replace these sample rows with your own courier billing export. Keep the same column order (paste-special &gt; values if columns differ).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2" customWidth="1" min="16" max="16"/>
    <col width="14" customWidth="1" min="17" max="17"/>
  </cols>
  <sheetData>
    <row r="1">
      <c r="A1" s="5" t="inlineStr">
        <is>
          <t>AWB / Tracking No</t>
        </is>
      </c>
      <c r="B1" s="5" t="inlineStr">
        <is>
          <t>Zone</t>
        </is>
      </c>
      <c r="C1" s="5" t="inlineStr">
        <is>
          <t>Payment Mode</t>
        </is>
      </c>
      <c r="D1" s="5" t="inlineStr">
        <is>
          <t>Shipment Status</t>
        </is>
      </c>
      <c r="E1" s="5" t="inlineStr">
        <is>
          <t>Actual Weight (kg)</t>
        </is>
      </c>
      <c r="F1" s="5" t="inlineStr">
        <is>
          <t>Volumetric Weight (kg)</t>
        </is>
      </c>
      <c r="G1" s="5" t="inlineStr">
        <is>
          <t>Chargeable Weight (kg)</t>
        </is>
      </c>
      <c r="H1" s="5" t="inlineStr">
        <is>
          <t>Billed Weight by Courier (kg)</t>
        </is>
      </c>
      <c r="I1" s="5" t="inlineStr">
        <is>
          <t>Weight Check</t>
        </is>
      </c>
      <c r="J1" s="5" t="inlineStr">
        <is>
          <t>Expected Base Freight (Rs)</t>
        </is>
      </c>
      <c r="K1" s="5" t="inlineStr">
        <is>
          <t>Expected Additional Weight Charge (Rs)</t>
        </is>
      </c>
      <c r="L1" s="5" t="inlineStr">
        <is>
          <t>Expected COD Charge (Rs)</t>
        </is>
      </c>
      <c r="M1" s="5" t="inlineStr">
        <is>
          <t>Expected RTO Charge (Rs)</t>
        </is>
      </c>
      <c r="N1" s="5" t="inlineStr">
        <is>
          <t>Total Expected Charge (Rs)</t>
        </is>
      </c>
      <c r="O1" s="5" t="inlineStr">
        <is>
          <t>Billed Amount by Courier (Rs)</t>
        </is>
      </c>
      <c r="P1" s="5" t="inlineStr">
        <is>
          <t>Variance (Rs)</t>
        </is>
      </c>
      <c r="Q1" s="5" t="inlineStr">
        <is>
          <t>Verdict</t>
        </is>
      </c>
    </row>
    <row r="2">
      <c r="A2" s="15">
        <f>'Shipment Data'!A2</f>
        <v/>
      </c>
      <c r="B2" s="15">
        <f>'Shipment Data'!C2</f>
        <v/>
      </c>
      <c r="C2" s="15">
        <f>'Shipment Data'!D2</f>
        <v/>
      </c>
      <c r="D2" s="15">
        <f>'Shipment Data'!J2</f>
        <v/>
      </c>
      <c r="E2" s="16">
        <f>'Shipment Data'!F2</f>
        <v/>
      </c>
      <c r="F2" s="17">
        <f>('Shipment Data'!G2*'Shipment Data'!H2*'Shipment Data'!I2)/5000</f>
        <v/>
      </c>
      <c r="G2" s="17">
        <f>CEILING(MAX(E2,F2),0.5)</f>
        <v/>
      </c>
      <c r="H2" s="16">
        <f>'Shipment Data'!K2</f>
        <v/>
      </c>
      <c r="I2" s="6">
        <f>IF(H2&gt;G2,"COURIER OVER-ROUNDED WEIGHT","OK")</f>
        <v/>
      </c>
      <c r="J2" s="18">
        <f>INDEX('Rate Card'!$D$4:$D$8,MATCH(B2,'Rate Card'!$A$4:$A$8,0))</f>
        <v/>
      </c>
      <c r="K2" s="18">
        <f>ROUND((G2-INDEX('Rate Card'!$C$4:$C$8,MATCH(B2,'Rate Card'!$A$4:$A$8,0)))/0.5,0)*INDEX('Rate Card'!$E$4:$E$8,MATCH(B2,'Rate Card'!$A$4:$A$8,0))</f>
        <v/>
      </c>
      <c r="L2" s="18">
        <f>IF(C2="COD",MAX('Shipment Data'!E2*INDEX('Rate Card'!$F$4:$F$8,MATCH(B2,'Rate Card'!$A$4:$A$8,0)),INDEX('Rate Card'!$G$4:$G$8,MATCH(B2,'Rate Card'!$A$4:$A$8,0))),0)</f>
        <v/>
      </c>
      <c r="M2" s="18">
        <f>IF(D2="RTO",(J2+K2)*INDEX('Rate Card'!$H$4:$H$8,MATCH(B2,'Rate Card'!$A$4:$A$8,0)),0)</f>
        <v/>
      </c>
      <c r="N2" s="19">
        <f>J2+K2+L2+M2</f>
        <v/>
      </c>
      <c r="O2" s="18">
        <f>'Shipment Data'!L2</f>
        <v/>
      </c>
      <c r="P2" s="19">
        <f>O2-N2</f>
        <v/>
      </c>
      <c r="Q2" s="6">
        <f>IF(P2&gt;1,"OVERCHARGED",IF(P2&lt;-1,"UNDERBILLED","MATCH"))</f>
        <v/>
      </c>
    </row>
    <row r="3">
      <c r="A3" s="15">
        <f>'Shipment Data'!A3</f>
        <v/>
      </c>
      <c r="B3" s="15">
        <f>'Shipment Data'!C3</f>
        <v/>
      </c>
      <c r="C3" s="15">
        <f>'Shipment Data'!D3</f>
        <v/>
      </c>
      <c r="D3" s="15">
        <f>'Shipment Data'!J3</f>
        <v/>
      </c>
      <c r="E3" s="16">
        <f>'Shipment Data'!F3</f>
        <v/>
      </c>
      <c r="F3" s="17">
        <f>('Shipment Data'!G3*'Shipment Data'!H3*'Shipment Data'!I3)/5000</f>
        <v/>
      </c>
      <c r="G3" s="17">
        <f>CEILING(MAX(E3,F3),0.5)</f>
        <v/>
      </c>
      <c r="H3" s="16">
        <f>'Shipment Data'!K3</f>
        <v/>
      </c>
      <c r="I3" s="6">
        <f>IF(H3&gt;G3,"COURIER OVER-ROUNDED WEIGHT","OK")</f>
        <v/>
      </c>
      <c r="J3" s="18">
        <f>INDEX('Rate Card'!$D$4:$D$8,MATCH(B3,'Rate Card'!$A$4:$A$8,0))</f>
        <v/>
      </c>
      <c r="K3" s="18">
        <f>ROUND((G3-INDEX('Rate Card'!$C$4:$C$8,MATCH(B3,'Rate Card'!$A$4:$A$8,0)))/0.5,0)*INDEX('Rate Card'!$E$4:$E$8,MATCH(B3,'Rate Card'!$A$4:$A$8,0))</f>
        <v/>
      </c>
      <c r="L3" s="18">
        <f>IF(C3="COD",MAX('Shipment Data'!E3*INDEX('Rate Card'!$F$4:$F$8,MATCH(B3,'Rate Card'!$A$4:$A$8,0)),INDEX('Rate Card'!$G$4:$G$8,MATCH(B3,'Rate Card'!$A$4:$A$8,0))),0)</f>
        <v/>
      </c>
      <c r="M3" s="18">
        <f>IF(D3="RTO",(J3+K3)*INDEX('Rate Card'!$H$4:$H$8,MATCH(B3,'Rate Card'!$A$4:$A$8,0)),0)</f>
        <v/>
      </c>
      <c r="N3" s="19">
        <f>J3+K3+L3+M3</f>
        <v/>
      </c>
      <c r="O3" s="18">
        <f>'Shipment Data'!L3</f>
        <v/>
      </c>
      <c r="P3" s="19">
        <f>O3-N3</f>
        <v/>
      </c>
      <c r="Q3" s="6">
        <f>IF(P3&gt;1,"OVERCHARGED",IF(P3&lt;-1,"UNDERBILLED","MATCH"))</f>
        <v/>
      </c>
    </row>
    <row r="4">
      <c r="A4" s="15">
        <f>'Shipment Data'!A4</f>
        <v/>
      </c>
      <c r="B4" s="15">
        <f>'Shipment Data'!C4</f>
        <v/>
      </c>
      <c r="C4" s="15">
        <f>'Shipment Data'!D4</f>
        <v/>
      </c>
      <c r="D4" s="15">
        <f>'Shipment Data'!J4</f>
        <v/>
      </c>
      <c r="E4" s="16">
        <f>'Shipment Data'!F4</f>
        <v/>
      </c>
      <c r="F4" s="17">
        <f>('Shipment Data'!G4*'Shipment Data'!H4*'Shipment Data'!I4)/5000</f>
        <v/>
      </c>
      <c r="G4" s="17">
        <f>CEILING(MAX(E4,F4),0.5)</f>
        <v/>
      </c>
      <c r="H4" s="16">
        <f>'Shipment Data'!K4</f>
        <v/>
      </c>
      <c r="I4" s="6">
        <f>IF(H4&gt;G4,"COURIER OVER-ROUNDED WEIGHT","OK")</f>
        <v/>
      </c>
      <c r="J4" s="18">
        <f>INDEX('Rate Card'!$D$4:$D$8,MATCH(B4,'Rate Card'!$A$4:$A$8,0))</f>
        <v/>
      </c>
      <c r="K4" s="18">
        <f>ROUND((G4-INDEX('Rate Card'!$C$4:$C$8,MATCH(B4,'Rate Card'!$A$4:$A$8,0)))/0.5,0)*INDEX('Rate Card'!$E$4:$E$8,MATCH(B4,'Rate Card'!$A$4:$A$8,0))</f>
        <v/>
      </c>
      <c r="L4" s="18">
        <f>IF(C4="COD",MAX('Shipment Data'!E4*INDEX('Rate Card'!$F$4:$F$8,MATCH(B4,'Rate Card'!$A$4:$A$8,0)),INDEX('Rate Card'!$G$4:$G$8,MATCH(B4,'Rate Card'!$A$4:$A$8,0))),0)</f>
        <v/>
      </c>
      <c r="M4" s="18">
        <f>IF(D4="RTO",(J4+K4)*INDEX('Rate Card'!$H$4:$H$8,MATCH(B4,'Rate Card'!$A$4:$A$8,0)),0)</f>
        <v/>
      </c>
      <c r="N4" s="19">
        <f>J4+K4+L4+M4</f>
        <v/>
      </c>
      <c r="O4" s="18">
        <f>'Shipment Data'!L4</f>
        <v/>
      </c>
      <c r="P4" s="19">
        <f>O4-N4</f>
        <v/>
      </c>
      <c r="Q4" s="6">
        <f>IF(P4&gt;1,"OVERCHARGED",IF(P4&lt;-1,"UNDERBILLED","MATCH"))</f>
        <v/>
      </c>
    </row>
    <row r="5">
      <c r="A5" s="15">
        <f>'Shipment Data'!A5</f>
        <v/>
      </c>
      <c r="B5" s="15">
        <f>'Shipment Data'!C5</f>
        <v/>
      </c>
      <c r="C5" s="15">
        <f>'Shipment Data'!D5</f>
        <v/>
      </c>
      <c r="D5" s="15">
        <f>'Shipment Data'!J5</f>
        <v/>
      </c>
      <c r="E5" s="16">
        <f>'Shipment Data'!F5</f>
        <v/>
      </c>
      <c r="F5" s="17">
        <f>('Shipment Data'!G5*'Shipment Data'!H5*'Shipment Data'!I5)/5000</f>
        <v/>
      </c>
      <c r="G5" s="17">
        <f>CEILING(MAX(E5,F5),0.5)</f>
        <v/>
      </c>
      <c r="H5" s="16">
        <f>'Shipment Data'!K5</f>
        <v/>
      </c>
      <c r="I5" s="6">
        <f>IF(H5&gt;G5,"COURIER OVER-ROUNDED WEIGHT","OK")</f>
        <v/>
      </c>
      <c r="J5" s="18">
        <f>INDEX('Rate Card'!$D$4:$D$8,MATCH(B5,'Rate Card'!$A$4:$A$8,0))</f>
        <v/>
      </c>
      <c r="K5" s="18">
        <f>ROUND((G5-INDEX('Rate Card'!$C$4:$C$8,MATCH(B5,'Rate Card'!$A$4:$A$8,0)))/0.5,0)*INDEX('Rate Card'!$E$4:$E$8,MATCH(B5,'Rate Card'!$A$4:$A$8,0))</f>
        <v/>
      </c>
      <c r="L5" s="18">
        <f>IF(C5="COD",MAX('Shipment Data'!E5*INDEX('Rate Card'!$F$4:$F$8,MATCH(B5,'Rate Card'!$A$4:$A$8,0)),INDEX('Rate Card'!$G$4:$G$8,MATCH(B5,'Rate Card'!$A$4:$A$8,0))),0)</f>
        <v/>
      </c>
      <c r="M5" s="18">
        <f>IF(D5="RTO",(J5+K5)*INDEX('Rate Card'!$H$4:$H$8,MATCH(B5,'Rate Card'!$A$4:$A$8,0)),0)</f>
        <v/>
      </c>
      <c r="N5" s="19">
        <f>J5+K5+L5+M5</f>
        <v/>
      </c>
      <c r="O5" s="18">
        <f>'Shipment Data'!L5</f>
        <v/>
      </c>
      <c r="P5" s="19">
        <f>O5-N5</f>
        <v/>
      </c>
      <c r="Q5" s="6">
        <f>IF(P5&gt;1,"OVERCHARGED",IF(P5&lt;-1,"UNDERBILLED","MATCH"))</f>
        <v/>
      </c>
    </row>
    <row r="6">
      <c r="A6" s="15">
        <f>'Shipment Data'!A6</f>
        <v/>
      </c>
      <c r="B6" s="15">
        <f>'Shipment Data'!C6</f>
        <v/>
      </c>
      <c r="C6" s="15">
        <f>'Shipment Data'!D6</f>
        <v/>
      </c>
      <c r="D6" s="15">
        <f>'Shipment Data'!J6</f>
        <v/>
      </c>
      <c r="E6" s="16">
        <f>'Shipment Data'!F6</f>
        <v/>
      </c>
      <c r="F6" s="17">
        <f>('Shipment Data'!G6*'Shipment Data'!H6*'Shipment Data'!I6)/5000</f>
        <v/>
      </c>
      <c r="G6" s="17">
        <f>CEILING(MAX(E6,F6),0.5)</f>
        <v/>
      </c>
      <c r="H6" s="16">
        <f>'Shipment Data'!K6</f>
        <v/>
      </c>
      <c r="I6" s="6">
        <f>IF(H6&gt;G6,"COURIER OVER-ROUNDED WEIGHT","OK")</f>
        <v/>
      </c>
      <c r="J6" s="18">
        <f>INDEX('Rate Card'!$D$4:$D$8,MATCH(B6,'Rate Card'!$A$4:$A$8,0))</f>
        <v/>
      </c>
      <c r="K6" s="18">
        <f>ROUND((G6-INDEX('Rate Card'!$C$4:$C$8,MATCH(B6,'Rate Card'!$A$4:$A$8,0)))/0.5,0)*INDEX('Rate Card'!$E$4:$E$8,MATCH(B6,'Rate Card'!$A$4:$A$8,0))</f>
        <v/>
      </c>
      <c r="L6" s="18">
        <f>IF(C6="COD",MAX('Shipment Data'!E6*INDEX('Rate Card'!$F$4:$F$8,MATCH(B6,'Rate Card'!$A$4:$A$8,0)),INDEX('Rate Card'!$G$4:$G$8,MATCH(B6,'Rate Card'!$A$4:$A$8,0))),0)</f>
        <v/>
      </c>
      <c r="M6" s="18">
        <f>IF(D6="RTO",(J6+K6)*INDEX('Rate Card'!$H$4:$H$8,MATCH(B6,'Rate Card'!$A$4:$A$8,0)),0)</f>
        <v/>
      </c>
      <c r="N6" s="19">
        <f>J6+K6+L6+M6</f>
        <v/>
      </c>
      <c r="O6" s="18">
        <f>'Shipment Data'!L6</f>
        <v/>
      </c>
      <c r="P6" s="19">
        <f>O6-N6</f>
        <v/>
      </c>
      <c r="Q6" s="6">
        <f>IF(P6&gt;1,"OVERCHARGED",IF(P6&lt;-1,"UNDERBILLED","MATCH"))</f>
        <v/>
      </c>
    </row>
    <row r="7">
      <c r="A7" s="15">
        <f>'Shipment Data'!A7</f>
        <v/>
      </c>
      <c r="B7" s="15">
        <f>'Shipment Data'!C7</f>
        <v/>
      </c>
      <c r="C7" s="15">
        <f>'Shipment Data'!D7</f>
        <v/>
      </c>
      <c r="D7" s="15">
        <f>'Shipment Data'!J7</f>
        <v/>
      </c>
      <c r="E7" s="16">
        <f>'Shipment Data'!F7</f>
        <v/>
      </c>
      <c r="F7" s="17">
        <f>('Shipment Data'!G7*'Shipment Data'!H7*'Shipment Data'!I7)/5000</f>
        <v/>
      </c>
      <c r="G7" s="17">
        <f>CEILING(MAX(E7,F7),0.5)</f>
        <v/>
      </c>
      <c r="H7" s="16">
        <f>'Shipment Data'!K7</f>
        <v/>
      </c>
      <c r="I7" s="6">
        <f>IF(H7&gt;G7,"COURIER OVER-ROUNDED WEIGHT","OK")</f>
        <v/>
      </c>
      <c r="J7" s="18">
        <f>INDEX('Rate Card'!$D$4:$D$8,MATCH(B7,'Rate Card'!$A$4:$A$8,0))</f>
        <v/>
      </c>
      <c r="K7" s="18">
        <f>ROUND((G7-INDEX('Rate Card'!$C$4:$C$8,MATCH(B7,'Rate Card'!$A$4:$A$8,0)))/0.5,0)*INDEX('Rate Card'!$E$4:$E$8,MATCH(B7,'Rate Card'!$A$4:$A$8,0))</f>
        <v/>
      </c>
      <c r="L7" s="18">
        <f>IF(C7="COD",MAX('Shipment Data'!E7*INDEX('Rate Card'!$F$4:$F$8,MATCH(B7,'Rate Card'!$A$4:$A$8,0)),INDEX('Rate Card'!$G$4:$G$8,MATCH(B7,'Rate Card'!$A$4:$A$8,0))),0)</f>
        <v/>
      </c>
      <c r="M7" s="18">
        <f>IF(D7="RTO",(J7+K7)*INDEX('Rate Card'!$H$4:$H$8,MATCH(B7,'Rate Card'!$A$4:$A$8,0)),0)</f>
        <v/>
      </c>
      <c r="N7" s="19">
        <f>J7+K7+L7+M7</f>
        <v/>
      </c>
      <c r="O7" s="18">
        <f>'Shipment Data'!L7</f>
        <v/>
      </c>
      <c r="P7" s="19">
        <f>O7-N7</f>
        <v/>
      </c>
      <c r="Q7" s="6">
        <f>IF(P7&gt;1,"OVERCHARGED",IF(P7&lt;-1,"UNDERBILLED","MATCH"))</f>
        <v/>
      </c>
    </row>
    <row r="8">
      <c r="A8" s="15">
        <f>'Shipment Data'!A8</f>
        <v/>
      </c>
      <c r="B8" s="15">
        <f>'Shipment Data'!C8</f>
        <v/>
      </c>
      <c r="C8" s="15">
        <f>'Shipment Data'!D8</f>
        <v/>
      </c>
      <c r="D8" s="15">
        <f>'Shipment Data'!J8</f>
        <v/>
      </c>
      <c r="E8" s="16">
        <f>'Shipment Data'!F8</f>
        <v/>
      </c>
      <c r="F8" s="17">
        <f>('Shipment Data'!G8*'Shipment Data'!H8*'Shipment Data'!I8)/5000</f>
        <v/>
      </c>
      <c r="G8" s="17">
        <f>CEILING(MAX(E8,F8),0.5)</f>
        <v/>
      </c>
      <c r="H8" s="16">
        <f>'Shipment Data'!K8</f>
        <v/>
      </c>
      <c r="I8" s="6">
        <f>IF(H8&gt;G8,"COURIER OVER-ROUNDED WEIGHT","OK")</f>
        <v/>
      </c>
      <c r="J8" s="18">
        <f>INDEX('Rate Card'!$D$4:$D$8,MATCH(B8,'Rate Card'!$A$4:$A$8,0))</f>
        <v/>
      </c>
      <c r="K8" s="18">
        <f>ROUND((G8-INDEX('Rate Card'!$C$4:$C$8,MATCH(B8,'Rate Card'!$A$4:$A$8,0)))/0.5,0)*INDEX('Rate Card'!$E$4:$E$8,MATCH(B8,'Rate Card'!$A$4:$A$8,0))</f>
        <v/>
      </c>
      <c r="L8" s="18">
        <f>IF(C8="COD",MAX('Shipment Data'!E8*INDEX('Rate Card'!$F$4:$F$8,MATCH(B8,'Rate Card'!$A$4:$A$8,0)),INDEX('Rate Card'!$G$4:$G$8,MATCH(B8,'Rate Card'!$A$4:$A$8,0))),0)</f>
        <v/>
      </c>
      <c r="M8" s="18">
        <f>IF(D8="RTO",(J8+K8)*INDEX('Rate Card'!$H$4:$H$8,MATCH(B8,'Rate Card'!$A$4:$A$8,0)),0)</f>
        <v/>
      </c>
      <c r="N8" s="19">
        <f>J8+K8+L8+M8</f>
        <v/>
      </c>
      <c r="O8" s="18">
        <f>'Shipment Data'!L8</f>
        <v/>
      </c>
      <c r="P8" s="19">
        <f>O8-N8</f>
        <v/>
      </c>
      <c r="Q8" s="6">
        <f>IF(P8&gt;1,"OVERCHARGED",IF(P8&lt;-1,"UNDERBILLED","MATCH"))</f>
        <v/>
      </c>
    </row>
    <row r="9">
      <c r="A9" s="15">
        <f>'Shipment Data'!A9</f>
        <v/>
      </c>
      <c r="B9" s="15">
        <f>'Shipment Data'!C9</f>
        <v/>
      </c>
      <c r="C9" s="15">
        <f>'Shipment Data'!D9</f>
        <v/>
      </c>
      <c r="D9" s="15">
        <f>'Shipment Data'!J9</f>
        <v/>
      </c>
      <c r="E9" s="16">
        <f>'Shipment Data'!F9</f>
        <v/>
      </c>
      <c r="F9" s="17">
        <f>('Shipment Data'!G9*'Shipment Data'!H9*'Shipment Data'!I9)/5000</f>
        <v/>
      </c>
      <c r="G9" s="17">
        <f>CEILING(MAX(E9,F9),0.5)</f>
        <v/>
      </c>
      <c r="H9" s="16">
        <f>'Shipment Data'!K9</f>
        <v/>
      </c>
      <c r="I9" s="6">
        <f>IF(H9&gt;G9,"COURIER OVER-ROUNDED WEIGHT","OK")</f>
        <v/>
      </c>
      <c r="J9" s="18">
        <f>INDEX('Rate Card'!$D$4:$D$8,MATCH(B9,'Rate Card'!$A$4:$A$8,0))</f>
        <v/>
      </c>
      <c r="K9" s="18">
        <f>ROUND((G9-INDEX('Rate Card'!$C$4:$C$8,MATCH(B9,'Rate Card'!$A$4:$A$8,0)))/0.5,0)*INDEX('Rate Card'!$E$4:$E$8,MATCH(B9,'Rate Card'!$A$4:$A$8,0))</f>
        <v/>
      </c>
      <c r="L9" s="18">
        <f>IF(C9="COD",MAX('Shipment Data'!E9*INDEX('Rate Card'!$F$4:$F$8,MATCH(B9,'Rate Card'!$A$4:$A$8,0)),INDEX('Rate Card'!$G$4:$G$8,MATCH(B9,'Rate Card'!$A$4:$A$8,0))),0)</f>
        <v/>
      </c>
      <c r="M9" s="18">
        <f>IF(D9="RTO",(J9+K9)*INDEX('Rate Card'!$H$4:$H$8,MATCH(B9,'Rate Card'!$A$4:$A$8,0)),0)</f>
        <v/>
      </c>
      <c r="N9" s="19">
        <f>J9+K9+L9+M9</f>
        <v/>
      </c>
      <c r="O9" s="18">
        <f>'Shipment Data'!L9</f>
        <v/>
      </c>
      <c r="P9" s="19">
        <f>O9-N9</f>
        <v/>
      </c>
      <c r="Q9" s="6">
        <f>IF(P9&gt;1,"OVERCHARGED",IF(P9&lt;-1,"UNDERBILLED","MATCH"))</f>
        <v/>
      </c>
    </row>
    <row r="10">
      <c r="A10" s="15">
        <f>'Shipment Data'!A10</f>
        <v/>
      </c>
      <c r="B10" s="15">
        <f>'Shipment Data'!C10</f>
        <v/>
      </c>
      <c r="C10" s="15">
        <f>'Shipment Data'!D10</f>
        <v/>
      </c>
      <c r="D10" s="15">
        <f>'Shipment Data'!J10</f>
        <v/>
      </c>
      <c r="E10" s="16">
        <f>'Shipment Data'!F10</f>
        <v/>
      </c>
      <c r="F10" s="17">
        <f>('Shipment Data'!G10*'Shipment Data'!H10*'Shipment Data'!I10)/5000</f>
        <v/>
      </c>
      <c r="G10" s="17">
        <f>CEILING(MAX(E10,F10),0.5)</f>
        <v/>
      </c>
      <c r="H10" s="16">
        <f>'Shipment Data'!K10</f>
        <v/>
      </c>
      <c r="I10" s="6">
        <f>IF(H10&gt;G10,"COURIER OVER-ROUNDED WEIGHT","OK")</f>
        <v/>
      </c>
      <c r="J10" s="18">
        <f>INDEX('Rate Card'!$D$4:$D$8,MATCH(B10,'Rate Card'!$A$4:$A$8,0))</f>
        <v/>
      </c>
      <c r="K10" s="18">
        <f>ROUND((G10-INDEX('Rate Card'!$C$4:$C$8,MATCH(B10,'Rate Card'!$A$4:$A$8,0)))/0.5,0)*INDEX('Rate Card'!$E$4:$E$8,MATCH(B10,'Rate Card'!$A$4:$A$8,0))</f>
        <v/>
      </c>
      <c r="L10" s="18">
        <f>IF(C10="COD",MAX('Shipment Data'!E10*INDEX('Rate Card'!$F$4:$F$8,MATCH(B10,'Rate Card'!$A$4:$A$8,0)),INDEX('Rate Card'!$G$4:$G$8,MATCH(B10,'Rate Card'!$A$4:$A$8,0))),0)</f>
        <v/>
      </c>
      <c r="M10" s="18">
        <f>IF(D10="RTO",(J10+K10)*INDEX('Rate Card'!$H$4:$H$8,MATCH(B10,'Rate Card'!$A$4:$A$8,0)),0)</f>
        <v/>
      </c>
      <c r="N10" s="19">
        <f>J10+K10+L10+M10</f>
        <v/>
      </c>
      <c r="O10" s="18">
        <f>'Shipment Data'!L10</f>
        <v/>
      </c>
      <c r="P10" s="19">
        <f>O10-N10</f>
        <v/>
      </c>
      <c r="Q10" s="6">
        <f>IF(P10&gt;1,"OVERCHARGED",IF(P10&lt;-1,"UNDERBILLED","MATCH"))</f>
        <v/>
      </c>
    </row>
    <row r="11">
      <c r="A11" s="15">
        <f>'Shipment Data'!A11</f>
        <v/>
      </c>
      <c r="B11" s="15">
        <f>'Shipment Data'!C11</f>
        <v/>
      </c>
      <c r="C11" s="15">
        <f>'Shipment Data'!D11</f>
        <v/>
      </c>
      <c r="D11" s="15">
        <f>'Shipment Data'!J11</f>
        <v/>
      </c>
      <c r="E11" s="16">
        <f>'Shipment Data'!F11</f>
        <v/>
      </c>
      <c r="F11" s="17">
        <f>('Shipment Data'!G11*'Shipment Data'!H11*'Shipment Data'!I11)/5000</f>
        <v/>
      </c>
      <c r="G11" s="17">
        <f>CEILING(MAX(E11,F11),0.5)</f>
        <v/>
      </c>
      <c r="H11" s="16">
        <f>'Shipment Data'!K11</f>
        <v/>
      </c>
      <c r="I11" s="6">
        <f>IF(H11&gt;G11,"COURIER OVER-ROUNDED WEIGHT","OK")</f>
        <v/>
      </c>
      <c r="J11" s="18">
        <f>INDEX('Rate Card'!$D$4:$D$8,MATCH(B11,'Rate Card'!$A$4:$A$8,0))</f>
        <v/>
      </c>
      <c r="K11" s="18">
        <f>ROUND((G11-INDEX('Rate Card'!$C$4:$C$8,MATCH(B11,'Rate Card'!$A$4:$A$8,0)))/0.5,0)*INDEX('Rate Card'!$E$4:$E$8,MATCH(B11,'Rate Card'!$A$4:$A$8,0))</f>
        <v/>
      </c>
      <c r="L11" s="18">
        <f>IF(C11="COD",MAX('Shipment Data'!E11*INDEX('Rate Card'!$F$4:$F$8,MATCH(B11,'Rate Card'!$A$4:$A$8,0)),INDEX('Rate Card'!$G$4:$G$8,MATCH(B11,'Rate Card'!$A$4:$A$8,0))),0)</f>
        <v/>
      </c>
      <c r="M11" s="18">
        <f>IF(D11="RTO",(J11+K11)*INDEX('Rate Card'!$H$4:$H$8,MATCH(B11,'Rate Card'!$A$4:$A$8,0)),0)</f>
        <v/>
      </c>
      <c r="N11" s="19">
        <f>J11+K11+L11+M11</f>
        <v/>
      </c>
      <c r="O11" s="18">
        <f>'Shipment Data'!L11</f>
        <v/>
      </c>
      <c r="P11" s="19">
        <f>O11-N11</f>
        <v/>
      </c>
      <c r="Q11" s="6">
        <f>IF(P11&gt;1,"OVERCHARGED",IF(P11&lt;-1,"UNDERBILLED","MATCH"))</f>
        <v/>
      </c>
    </row>
    <row r="12">
      <c r="A12" s="15">
        <f>'Shipment Data'!A12</f>
        <v/>
      </c>
      <c r="B12" s="15">
        <f>'Shipment Data'!C12</f>
        <v/>
      </c>
      <c r="C12" s="15">
        <f>'Shipment Data'!D12</f>
        <v/>
      </c>
      <c r="D12" s="15">
        <f>'Shipment Data'!J12</f>
        <v/>
      </c>
      <c r="E12" s="16">
        <f>'Shipment Data'!F12</f>
        <v/>
      </c>
      <c r="F12" s="17">
        <f>('Shipment Data'!G12*'Shipment Data'!H12*'Shipment Data'!I12)/5000</f>
        <v/>
      </c>
      <c r="G12" s="17">
        <f>CEILING(MAX(E12,F12),0.5)</f>
        <v/>
      </c>
      <c r="H12" s="16">
        <f>'Shipment Data'!K12</f>
        <v/>
      </c>
      <c r="I12" s="6">
        <f>IF(H12&gt;G12,"COURIER OVER-ROUNDED WEIGHT","OK")</f>
        <v/>
      </c>
      <c r="J12" s="18">
        <f>INDEX('Rate Card'!$D$4:$D$8,MATCH(B12,'Rate Card'!$A$4:$A$8,0))</f>
        <v/>
      </c>
      <c r="K12" s="18">
        <f>ROUND((G12-INDEX('Rate Card'!$C$4:$C$8,MATCH(B12,'Rate Card'!$A$4:$A$8,0)))/0.5,0)*INDEX('Rate Card'!$E$4:$E$8,MATCH(B12,'Rate Card'!$A$4:$A$8,0))</f>
        <v/>
      </c>
      <c r="L12" s="18">
        <f>IF(C12="COD",MAX('Shipment Data'!E12*INDEX('Rate Card'!$F$4:$F$8,MATCH(B12,'Rate Card'!$A$4:$A$8,0)),INDEX('Rate Card'!$G$4:$G$8,MATCH(B12,'Rate Card'!$A$4:$A$8,0))),0)</f>
        <v/>
      </c>
      <c r="M12" s="18">
        <f>IF(D12="RTO",(J12+K12)*INDEX('Rate Card'!$H$4:$H$8,MATCH(B12,'Rate Card'!$A$4:$A$8,0)),0)</f>
        <v/>
      </c>
      <c r="N12" s="19">
        <f>J12+K12+L12+M12</f>
        <v/>
      </c>
      <c r="O12" s="18">
        <f>'Shipment Data'!L12</f>
        <v/>
      </c>
      <c r="P12" s="19">
        <f>O12-N12</f>
        <v/>
      </c>
      <c r="Q12" s="6">
        <f>IF(P12&gt;1,"OVERCHARGED",IF(P12&lt;-1,"UNDERBILLED","MATCH"))</f>
        <v/>
      </c>
    </row>
    <row r="13">
      <c r="A13" s="15">
        <f>'Shipment Data'!A13</f>
        <v/>
      </c>
      <c r="B13" s="15">
        <f>'Shipment Data'!C13</f>
        <v/>
      </c>
      <c r="C13" s="15">
        <f>'Shipment Data'!D13</f>
        <v/>
      </c>
      <c r="D13" s="15">
        <f>'Shipment Data'!J13</f>
        <v/>
      </c>
      <c r="E13" s="16">
        <f>'Shipment Data'!F13</f>
        <v/>
      </c>
      <c r="F13" s="17">
        <f>('Shipment Data'!G13*'Shipment Data'!H13*'Shipment Data'!I13)/5000</f>
        <v/>
      </c>
      <c r="G13" s="17">
        <f>CEILING(MAX(E13,F13),0.5)</f>
        <v/>
      </c>
      <c r="H13" s="16">
        <f>'Shipment Data'!K13</f>
        <v/>
      </c>
      <c r="I13" s="6">
        <f>IF(H13&gt;G13,"COURIER OVER-ROUNDED WEIGHT","OK")</f>
        <v/>
      </c>
      <c r="J13" s="18">
        <f>INDEX('Rate Card'!$D$4:$D$8,MATCH(B13,'Rate Card'!$A$4:$A$8,0))</f>
        <v/>
      </c>
      <c r="K13" s="18">
        <f>ROUND((G13-INDEX('Rate Card'!$C$4:$C$8,MATCH(B13,'Rate Card'!$A$4:$A$8,0)))/0.5,0)*INDEX('Rate Card'!$E$4:$E$8,MATCH(B13,'Rate Card'!$A$4:$A$8,0))</f>
        <v/>
      </c>
      <c r="L13" s="18">
        <f>IF(C13="COD",MAX('Shipment Data'!E13*INDEX('Rate Card'!$F$4:$F$8,MATCH(B13,'Rate Card'!$A$4:$A$8,0)),INDEX('Rate Card'!$G$4:$G$8,MATCH(B13,'Rate Card'!$A$4:$A$8,0))),0)</f>
        <v/>
      </c>
      <c r="M13" s="18">
        <f>IF(D13="RTO",(J13+K13)*INDEX('Rate Card'!$H$4:$H$8,MATCH(B13,'Rate Card'!$A$4:$A$8,0)),0)</f>
        <v/>
      </c>
      <c r="N13" s="19">
        <f>J13+K13+L13+M13</f>
        <v/>
      </c>
      <c r="O13" s="18">
        <f>'Shipment Data'!L13</f>
        <v/>
      </c>
      <c r="P13" s="19">
        <f>O13-N13</f>
        <v/>
      </c>
      <c r="Q13" s="6">
        <f>IF(P13&gt;1,"OVERCHARGED",IF(P13&lt;-1,"UNDERBILLED","MATCH"))</f>
        <v/>
      </c>
    </row>
  </sheetData>
  <conditionalFormatting sqref="Q2:Q13">
    <cfRule type="cellIs" priority="1" operator="equal" dxfId="0">
      <formula>"OVERCHARGED"</formula>
    </cfRule>
    <cfRule type="cellIs" priority="2" operator="equal" dxfId="1">
      <formula>"UNDERBILLED"</formula>
    </cfRule>
    <cfRule type="cellIs" priority="3" operator="equal" dxfId="2">
      <formula>"MATCH"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20" customWidth="1" min="4" max="4"/>
    <col width="14" customWidth="1" min="5" max="5"/>
    <col width="14" customWidth="1" min="6" max="6"/>
  </cols>
  <sheetData>
    <row r="2">
      <c r="B2" s="1" t="inlineStr">
        <is>
          <t>Billing Audit Summary</t>
        </is>
      </c>
    </row>
    <row r="4">
      <c r="B4" s="2" t="inlineStr">
        <is>
          <t>Total Shipments Audited</t>
        </is>
      </c>
      <c r="D4" s="20">
        <f>COUNTA(Audit!A2:A13)</f>
        <v/>
      </c>
    </row>
    <row r="5">
      <c r="B5" s="2" t="inlineStr">
        <is>
          <t>Total Billed by Courier (Rs)</t>
        </is>
      </c>
      <c r="D5" s="21">
        <f>SUM(Audit!O2:O13)</f>
        <v/>
      </c>
    </row>
    <row r="6">
      <c r="B6" s="2" t="inlineStr">
        <is>
          <t>Total Expected Charge (Rs)</t>
        </is>
      </c>
      <c r="D6" s="21">
        <f>SUM(Audit!N2:N13)</f>
        <v/>
      </c>
    </row>
    <row r="7">
      <c r="B7" s="2" t="inlineStr">
        <is>
          <t>Net Variance (Rs)</t>
        </is>
      </c>
      <c r="D7" s="21">
        <f>SUM(Audit!P2:P13)</f>
        <v/>
      </c>
    </row>
    <row r="8">
      <c r="B8" s="2" t="inlineStr">
        <is>
          <t>Shipments Overcharged</t>
        </is>
      </c>
      <c r="D8" s="20">
        <f>COUNTIF(Audit!Q2:Q13,"OVERCHARGED")</f>
        <v/>
      </c>
    </row>
    <row r="9">
      <c r="B9" s="2" t="inlineStr">
        <is>
          <t>Total Overcharge - Refund Claimable (Rs)</t>
        </is>
      </c>
      <c r="D9" s="21">
        <f>SUMIF(Audit!Q2:Q13,"OVERCHARGED",Audit!P2:P13)</f>
        <v/>
      </c>
    </row>
    <row r="10">
      <c r="B10" s="2" t="inlineStr">
        <is>
          <t>Shipments Underbilled (courier's loss, FYI)</t>
        </is>
      </c>
      <c r="D10" s="20">
        <f>COUNTIF(Audit!Q2:Q13,"UNDERBILLED")</f>
        <v/>
      </c>
    </row>
    <row r="12">
      <c r="B12" s="2" t="inlineStr">
        <is>
          <t>Zone-wise Breakdown</t>
        </is>
      </c>
    </row>
    <row r="14">
      <c r="B14" s="5" t="inlineStr">
        <is>
          <t>Zone</t>
        </is>
      </c>
      <c r="C14" s="5" t="inlineStr">
        <is>
          <t>Shipments</t>
        </is>
      </c>
      <c r="D14" s="5" t="inlineStr">
        <is>
          <t>Total Billed (Rs)</t>
        </is>
      </c>
      <c r="E14" s="5" t="inlineStr">
        <is>
          <t>Total Expected (Rs)</t>
        </is>
      </c>
      <c r="F14" s="5" t="inlineStr">
        <is>
          <t>Overcharge Amount (Rs)</t>
        </is>
      </c>
    </row>
    <row r="15">
      <c r="B15" s="6" t="inlineStr">
        <is>
          <t>A</t>
        </is>
      </c>
      <c r="C15" s="6">
        <f>COUNTIF(Audit!$B$2:$B$13,B15)</f>
        <v/>
      </c>
      <c r="D15" s="19">
        <f>SUMIF(Audit!$B$2:$B$13,B15,Audit!$O$2:$O$13)</f>
        <v/>
      </c>
      <c r="E15" s="19">
        <f>SUMIF(Audit!$B$2:$B$13,B15,Audit!$N$2:$N$13)</f>
        <v/>
      </c>
      <c r="F15" s="19">
        <f>SUMIFS(Audit!$P$2:$P$13,Audit!$B$2:$B$13,B15,Audit!$Q$2:$Q$13,"OVERCHARGED")</f>
        <v/>
      </c>
    </row>
    <row r="16">
      <c r="B16" s="6" t="inlineStr">
        <is>
          <t>B</t>
        </is>
      </c>
      <c r="C16" s="6">
        <f>COUNTIF(Audit!$B$2:$B$13,B16)</f>
        <v/>
      </c>
      <c r="D16" s="19">
        <f>SUMIF(Audit!$B$2:$B$13,B16,Audit!$O$2:$O$13)</f>
        <v/>
      </c>
      <c r="E16" s="19">
        <f>SUMIF(Audit!$B$2:$B$13,B16,Audit!$N$2:$N$13)</f>
        <v/>
      </c>
      <c r="F16" s="19">
        <f>SUMIFS(Audit!$P$2:$P$13,Audit!$B$2:$B$13,B16,Audit!$Q$2:$Q$13,"OVERCHARGED")</f>
        <v/>
      </c>
    </row>
    <row r="17">
      <c r="B17" s="6" t="inlineStr">
        <is>
          <t>C</t>
        </is>
      </c>
      <c r="C17" s="6">
        <f>COUNTIF(Audit!$B$2:$B$13,B17)</f>
        <v/>
      </c>
      <c r="D17" s="19">
        <f>SUMIF(Audit!$B$2:$B$13,B17,Audit!$O$2:$O$13)</f>
        <v/>
      </c>
      <c r="E17" s="19">
        <f>SUMIF(Audit!$B$2:$B$13,B17,Audit!$N$2:$N$13)</f>
        <v/>
      </c>
      <c r="F17" s="19">
        <f>SUMIFS(Audit!$P$2:$P$13,Audit!$B$2:$B$13,B17,Audit!$Q$2:$Q$13,"OVERCHARGED")</f>
        <v/>
      </c>
    </row>
    <row r="18">
      <c r="B18" s="6" t="inlineStr">
        <is>
          <t>D</t>
        </is>
      </c>
      <c r="C18" s="6">
        <f>COUNTIF(Audit!$B$2:$B$13,B18)</f>
        <v/>
      </c>
      <c r="D18" s="19">
        <f>SUMIF(Audit!$B$2:$B$13,B18,Audit!$O$2:$O$13)</f>
        <v/>
      </c>
      <c r="E18" s="19">
        <f>SUMIF(Audit!$B$2:$B$13,B18,Audit!$N$2:$N$13)</f>
        <v/>
      </c>
      <c r="F18" s="19">
        <f>SUMIFS(Audit!$P$2:$P$13,Audit!$B$2:$B$13,B18,Audit!$Q$2:$Q$13,"OVERCHARGED")</f>
        <v/>
      </c>
    </row>
    <row r="19">
      <c r="B19" s="6" t="inlineStr">
        <is>
          <t>E</t>
        </is>
      </c>
      <c r="C19" s="6">
        <f>COUNTIF(Audit!$B$2:$B$13,B19)</f>
        <v/>
      </c>
      <c r="D19" s="19">
        <f>SUMIF(Audit!$B$2:$B$13,B19,Audit!$O$2:$O$13)</f>
        <v/>
      </c>
      <c r="E19" s="19">
        <f>SUMIF(Audit!$B$2:$B$13,B19,Audit!$N$2:$N$13)</f>
        <v/>
      </c>
      <c r="F19" s="19">
        <f>SUMIFS(Audit!$P$2:$P$13,Audit!$B$2:$B$13,B19,Audit!$Q$2:$Q$13,"OVERCHARGED")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2026-07-06T06:57:33Z</dcterms:created>
  <dcterms:modified xmlns:dcterms="http://purl.org/dc/terms/" xmlns:xsi="http://www.w3.org/2001/XMLSchema-instance" xsi:type="dcterms:W3CDTF">2026-07-06T06:57:33Z</dcterms:modified>
</cp:coreProperties>
</file>