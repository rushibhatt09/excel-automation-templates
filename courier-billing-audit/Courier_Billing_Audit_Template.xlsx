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ate Card" sheetId="2" state="visible" r:id="rId2"/>
    <sheet xmlns:r="http://schemas.openxmlformats.org/officeDocument/2006/relationships" name="Shipment Data" sheetId="3" state="visible" r:id="rId3"/>
    <sheet xmlns:r="http://schemas.openxmlformats.org/officeDocument/2006/relationships" name="Audit" sheetId="4" state="visible" r:id="rId4"/>
    <sheet xmlns:r="http://schemas.openxmlformats.org/officeDocument/2006/relationships" name="Summary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&quot; #,##0"/>
    <numFmt numFmtId="165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1F4E5F"/>
      <sz val="16"/>
    </font>
    <font>
      <name val="Arial"/>
      <b val="1"/>
    </font>
    <font>
      <name val="Arial"/>
      <sz val="11"/>
    </font>
    <font>
      <name val="Arial"/>
      <b val="1"/>
      <color rgb="001F4E5F"/>
      <sz val="12"/>
    </font>
    <font>
      <name val="Arial"/>
      <b val="1"/>
      <color rgb="00FFFFFF"/>
    </font>
    <font>
      <name val="Arial"/>
      <color rgb="00000000"/>
    </font>
    <font>
      <name val="Arial"/>
      <color rgb="000000FF"/>
    </font>
    <font>
      <name val="Arial"/>
      <i val="1"/>
      <color rgb="00666666"/>
      <sz val="9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>
        <fgColor rgb="001F4E5F"/>
        <bgColor rgb="001F4E5F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3" borderId="1" pivotButton="0" quotePrefix="0" xfId="0"/>
    <xf numFmtId="164" fontId="7" fillId="3" borderId="1" pivotButton="0" quotePrefix="0" xfId="0"/>
    <xf numFmtId="165" fontId="7" fillId="3" borderId="1" pivotButton="0" quotePrefix="0" xfId="0"/>
    <xf numFmtId="9" fontId="7" fillId="3" borderId="1" pivotButton="0" quotePrefix="0" xfId="0"/>
    <xf numFmtId="0" fontId="8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2" fontId="7" fillId="0" borderId="1" pivotButton="0" quotePrefix="0" xfId="0"/>
    <xf numFmtId="0" fontId="9" fillId="0" borderId="1" pivotButton="0" quotePrefix="0" xfId="0"/>
    <xf numFmtId="2" fontId="9" fillId="0" borderId="1" pivotButton="0" quotePrefix="0" xfId="0"/>
    <xf numFmtId="2" fontId="6" fillId="0" borderId="1" pivotButton="0" quotePrefix="0" xfId="0"/>
    <xf numFmtId="164" fontId="9" fillId="0" borderId="1" pivotButton="0" quotePrefix="0" xfId="0"/>
    <xf numFmtId="164" fontId="6" fillId="0" borderId="1" pivotButton="0" quotePrefix="0" xfId="0"/>
    <xf numFmtId="0" fontId="6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C6E0B4"/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Courier Billing Audit Template</t>
        </is>
      </c>
    </row>
    <row r="4">
      <c r="B4" s="2" t="inlineStr">
        <is>
          <t>What this does</t>
        </is>
      </c>
    </row>
    <row r="5">
      <c r="B5" s="3" t="inlineStr">
        <is>
          <t>Compares what your courier actually billed you against what your contracted rate card says you should have been charged - per shipment - and flags overcharges automatically.</t>
        </is>
      </c>
    </row>
    <row r="6">
      <c r="B6" s="3" t="n"/>
    </row>
    <row r="7">
      <c r="B7" s="3" t="inlineStr">
        <is>
          <t>How to use it</t>
        </is>
      </c>
    </row>
    <row r="8">
      <c r="B8" s="3" t="inlineStr">
        <is>
          <t>1. Go to the 'Rate Card' tab and replace the sample zone rates with your own courier contract rates (cells shaded yellow).</t>
        </is>
      </c>
    </row>
    <row r="9">
      <c r="B9" s="3" t="inlineStr">
        <is>
          <t>2. Go to the 'Shipment Data' tab and paste your own shipment export, replacing the sample rows (keep the same columns).</t>
        </is>
      </c>
    </row>
    <row r="10">
      <c r="B10" s="3" t="inlineStr">
        <is>
          <t>3. Open the 'Audit' tab - every row recalculates automatically and shows a Verdict: MATCH, OVERCHARGED, or UNDERBILLED.</t>
        </is>
      </c>
    </row>
    <row r="11">
      <c r="B11" s="3" t="inlineStr">
        <is>
          <t>4. Check the 'Summary Dashboard' tab for total overcharge amount and a zone-wise breakdown - this is your refund claim list.</t>
        </is>
      </c>
    </row>
    <row r="12">
      <c r="B12" s="3" t="n"/>
    </row>
    <row r="13">
      <c r="B13" s="3" t="inlineStr">
        <is>
          <t>Notes</t>
        </is>
      </c>
    </row>
    <row r="14">
      <c r="B14" s="3" t="inlineStr">
        <is>
          <t>- All figures are in INR (Rs). Blue cells = inputs you edit. Black cells = formulas, don't overtype them.</t>
        </is>
      </c>
    </row>
    <row r="15">
      <c r="B15" s="3" t="inlineStr">
        <is>
          <t>- Chargeable weight = higher of actual weight and volumetric weight (L x W x H / 5000), rounded up to the nearest 0.5 kg slab.</t>
        </is>
      </c>
    </row>
    <row r="16">
      <c r="B16" s="3" t="inlineStr">
        <is>
          <t>- This is a generic template with illustrative sample data - it is not tied to any specific courier or brand.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14" customWidth="1" min="4" max="4"/>
    <col width="24" customWidth="1" min="5" max="5"/>
    <col width="22" customWidth="1" min="6" max="6"/>
    <col width="20" customWidth="1" min="7" max="7"/>
    <col width="24" customWidth="1" min="8" max="8"/>
  </cols>
  <sheetData>
    <row r="1">
      <c r="A1" s="4" t="inlineStr">
        <is>
          <t>Zone Rate Card - SAMPLE VALUES, replace with your own courier contract</t>
        </is>
      </c>
    </row>
    <row r="3">
      <c r="A3" s="5" t="inlineStr">
        <is>
          <t>Zone Code</t>
        </is>
      </c>
      <c r="B3" s="5" t="inlineStr">
        <is>
          <t>Zone Name</t>
        </is>
      </c>
      <c r="C3" s="5" t="inlineStr">
        <is>
          <t>Base Weight (kg)</t>
        </is>
      </c>
      <c r="D3" s="5" t="inlineStr">
        <is>
          <t>Base Rate (Rs)</t>
        </is>
      </c>
      <c r="E3" s="5" t="inlineStr">
        <is>
          <t>Additional Rate per 0.5kg (Rs)</t>
        </is>
      </c>
      <c r="F3" s="5" t="inlineStr">
        <is>
          <t>COD Charge (% of order value)</t>
        </is>
      </c>
      <c r="G3" s="5" t="inlineStr">
        <is>
          <t>COD Minimum Charge (Rs)</t>
        </is>
      </c>
      <c r="H3" s="5" t="inlineStr">
        <is>
          <t>RTO Charge (% of forward freight)</t>
        </is>
      </c>
    </row>
    <row r="4">
      <c r="A4" s="6" t="inlineStr">
        <is>
          <t>A</t>
        </is>
      </c>
      <c r="B4" s="6" t="inlineStr">
        <is>
          <t>Local (Same City)</t>
        </is>
      </c>
      <c r="C4" s="7" t="n">
        <v>0.5</v>
      </c>
      <c r="D4" s="8" t="n">
        <v>35</v>
      </c>
      <c r="E4" s="8" t="n">
        <v>15</v>
      </c>
      <c r="F4" s="9" t="n">
        <v>0.02</v>
      </c>
      <c r="G4" s="8" t="n">
        <v>30</v>
      </c>
      <c r="H4" s="10" t="n">
        <v>1</v>
      </c>
    </row>
    <row r="5">
      <c r="A5" s="6" t="inlineStr">
        <is>
          <t>B</t>
        </is>
      </c>
      <c r="B5" s="6" t="inlineStr">
        <is>
          <t>Regional (Within State)</t>
        </is>
      </c>
      <c r="C5" s="7" t="n">
        <v>0.5</v>
      </c>
      <c r="D5" s="8" t="n">
        <v>45</v>
      </c>
      <c r="E5" s="8" t="n">
        <v>20</v>
      </c>
      <c r="F5" s="9" t="n">
        <v>0.02</v>
      </c>
      <c r="G5" s="8" t="n">
        <v>30</v>
      </c>
      <c r="H5" s="10" t="n">
        <v>1</v>
      </c>
    </row>
    <row r="6">
      <c r="A6" s="6" t="inlineStr">
        <is>
          <t>C</t>
        </is>
      </c>
      <c r="B6" s="6" t="inlineStr">
        <is>
          <t>Metro to Metro</t>
        </is>
      </c>
      <c r="C6" s="7" t="n">
        <v>0.5</v>
      </c>
      <c r="D6" s="8" t="n">
        <v>55</v>
      </c>
      <c r="E6" s="8" t="n">
        <v>25</v>
      </c>
      <c r="F6" s="9" t="n">
        <v>0.02</v>
      </c>
      <c r="G6" s="8" t="n">
        <v>30</v>
      </c>
      <c r="H6" s="10" t="n">
        <v>1</v>
      </c>
    </row>
    <row r="7">
      <c r="A7" s="6" t="inlineStr">
        <is>
          <t>D</t>
        </is>
      </c>
      <c r="B7" s="6" t="inlineStr">
        <is>
          <t>Rest of India</t>
        </is>
      </c>
      <c r="C7" s="7" t="n">
        <v>0.5</v>
      </c>
      <c r="D7" s="8" t="n">
        <v>65</v>
      </c>
      <c r="E7" s="8" t="n">
        <v>30</v>
      </c>
      <c r="F7" s="9" t="n">
        <v>0.02</v>
      </c>
      <c r="G7" s="8" t="n">
        <v>30</v>
      </c>
      <c r="H7" s="10" t="n">
        <v>1</v>
      </c>
    </row>
    <row r="8">
      <c r="A8" s="6" t="inlineStr">
        <is>
          <t>E</t>
        </is>
      </c>
      <c r="B8" s="6" t="inlineStr">
        <is>
          <t>Special (NE / J&amp;K / Ladakh / A&amp;N Islands)</t>
        </is>
      </c>
      <c r="C8" s="7" t="n">
        <v>0.5</v>
      </c>
      <c r="D8" s="8" t="n">
        <v>95</v>
      </c>
      <c r="E8" s="8" t="n">
        <v>45</v>
      </c>
      <c r="F8" s="9" t="n">
        <v>0.02</v>
      </c>
      <c r="G8" s="8" t="n">
        <v>30</v>
      </c>
      <c r="H8" s="10" t="n">
        <v>1</v>
      </c>
    </row>
    <row r="11">
      <c r="A11" s="11" t="inlineStr">
        <is>
          <t>Blue/yellow cells are sample inputs - overwrite with your own rate card. Add more zone rows if your courier uses a different zone map.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14" customWidth="1" min="6" max="6"/>
    <col width="10" customWidth="1" min="7" max="7"/>
    <col width="10" customWidth="1" min="8" max="8"/>
    <col width="10" customWidth="1" min="9" max="9"/>
    <col width="14" customWidth="1" min="10" max="10"/>
    <col width="22" customWidth="1" min="11" max="11"/>
    <col width="22" customWidth="1" min="12" max="12"/>
  </cols>
  <sheetData>
    <row r="1">
      <c r="A1" s="5" t="inlineStr">
        <is>
          <t>AWB / Tracking No</t>
        </is>
      </c>
      <c r="B1" s="5" t="inlineStr">
        <is>
          <t>Order ID</t>
        </is>
      </c>
      <c r="C1" s="5" t="inlineStr">
        <is>
          <t>Zone</t>
        </is>
      </c>
      <c r="D1" s="5" t="inlineStr">
        <is>
          <t>Payment Mode</t>
        </is>
      </c>
      <c r="E1" s="5" t="inlineStr">
        <is>
          <t>Order Value (Rs)</t>
        </is>
      </c>
      <c r="F1" s="5" t="inlineStr">
        <is>
          <t>Actual Weight (kg)</t>
        </is>
      </c>
      <c r="G1" s="5" t="inlineStr">
        <is>
          <t>Length (cm)</t>
        </is>
      </c>
      <c r="H1" s="5" t="inlineStr">
        <is>
          <t>Width (cm)</t>
        </is>
      </c>
      <c r="I1" s="5" t="inlineStr">
        <is>
          <t>Height (cm)</t>
        </is>
      </c>
      <c r="J1" s="5" t="inlineStr">
        <is>
          <t>Shipment Status</t>
        </is>
      </c>
      <c r="K1" s="5" t="inlineStr">
        <is>
          <t>Billed Weight by Courier (kg)</t>
        </is>
      </c>
      <c r="L1" s="5" t="inlineStr">
        <is>
          <t>Billed Amount by Courier (Rs)</t>
        </is>
      </c>
    </row>
    <row r="2">
      <c r="A2" s="12" t="inlineStr">
        <is>
          <t>AWB1001</t>
        </is>
      </c>
      <c r="B2" s="12" t="inlineStr">
        <is>
          <t>ORD5001</t>
        </is>
      </c>
      <c r="C2" s="12" t="inlineStr">
        <is>
          <t>A</t>
        </is>
      </c>
      <c r="D2" s="12" t="inlineStr">
        <is>
          <t>Prepaid</t>
        </is>
      </c>
      <c r="E2" s="13" t="n">
        <v>899</v>
      </c>
      <c r="F2" s="14" t="n">
        <v>0.4</v>
      </c>
      <c r="G2" s="14" t="n">
        <v>20</v>
      </c>
      <c r="H2" s="14" t="n">
        <v>15</v>
      </c>
      <c r="I2" s="14" t="n">
        <v>10</v>
      </c>
      <c r="J2" s="12" t="inlineStr">
        <is>
          <t>Delivered</t>
        </is>
      </c>
      <c r="K2" s="14" t="n">
        <v>1</v>
      </c>
      <c r="L2" s="13" t="n">
        <v>75</v>
      </c>
    </row>
    <row r="3">
      <c r="A3" s="12" t="inlineStr">
        <is>
          <t>AWB1002</t>
        </is>
      </c>
      <c r="B3" s="12" t="inlineStr">
        <is>
          <t>ORD5002</t>
        </is>
      </c>
      <c r="C3" s="12" t="inlineStr">
        <is>
          <t>B</t>
        </is>
      </c>
      <c r="D3" s="12" t="inlineStr">
        <is>
          <t>COD</t>
        </is>
      </c>
      <c r="E3" s="13" t="n">
        <v>1499</v>
      </c>
      <c r="F3" s="14" t="n">
        <v>0.8</v>
      </c>
      <c r="G3" s="14" t="n">
        <v>25</v>
      </c>
      <c r="H3" s="14" t="n">
        <v>20</v>
      </c>
      <c r="I3" s="14" t="n">
        <v>12</v>
      </c>
      <c r="J3" s="12" t="inlineStr">
        <is>
          <t>Delivered</t>
        </is>
      </c>
      <c r="K3" s="14" t="n">
        <v>1.5</v>
      </c>
      <c r="L3" s="13" t="n">
        <v>115</v>
      </c>
    </row>
    <row r="4">
      <c r="A4" s="12" t="inlineStr">
        <is>
          <t>AWB1003</t>
        </is>
      </c>
      <c r="B4" s="12" t="inlineStr">
        <is>
          <t>ORD5003</t>
        </is>
      </c>
      <c r="C4" s="12" t="inlineStr">
        <is>
          <t>C</t>
        </is>
      </c>
      <c r="D4" s="12" t="inlineStr">
        <is>
          <t>Prepaid</t>
        </is>
      </c>
      <c r="E4" s="13" t="n">
        <v>2199</v>
      </c>
      <c r="F4" s="14" t="n">
        <v>1.2</v>
      </c>
      <c r="G4" s="14" t="n">
        <v>30</v>
      </c>
      <c r="H4" s="14" t="n">
        <v>25</v>
      </c>
      <c r="I4" s="14" t="n">
        <v>15</v>
      </c>
      <c r="J4" s="12" t="inlineStr">
        <is>
          <t>Delivered</t>
        </is>
      </c>
      <c r="K4" s="14" t="n">
        <v>2.5</v>
      </c>
      <c r="L4" s="13" t="n">
        <v>173</v>
      </c>
    </row>
    <row r="5">
      <c r="A5" s="12" t="inlineStr">
        <is>
          <t>AWB1004</t>
        </is>
      </c>
      <c r="B5" s="12" t="inlineStr">
        <is>
          <t>ORD5004</t>
        </is>
      </c>
      <c r="C5" s="12" t="inlineStr">
        <is>
          <t>D</t>
        </is>
      </c>
      <c r="D5" s="12" t="inlineStr">
        <is>
          <t>COD</t>
        </is>
      </c>
      <c r="E5" s="13" t="n">
        <v>999</v>
      </c>
      <c r="F5" s="14" t="n">
        <v>0.3</v>
      </c>
      <c r="G5" s="14" t="n">
        <v>15</v>
      </c>
      <c r="H5" s="14" t="n">
        <v>15</v>
      </c>
      <c r="I5" s="14" t="n">
        <v>10</v>
      </c>
      <c r="J5" s="12" t="inlineStr">
        <is>
          <t>RTO</t>
        </is>
      </c>
      <c r="K5" s="14" t="n">
        <v>0.5</v>
      </c>
      <c r="L5" s="13" t="n">
        <v>200</v>
      </c>
    </row>
    <row r="6">
      <c r="A6" s="12" t="inlineStr">
        <is>
          <t>AWB1005</t>
        </is>
      </c>
      <c r="B6" s="12" t="inlineStr">
        <is>
          <t>ORD5005</t>
        </is>
      </c>
      <c r="C6" s="12" t="inlineStr">
        <is>
          <t>E</t>
        </is>
      </c>
      <c r="D6" s="12" t="inlineStr">
        <is>
          <t>Prepaid</t>
        </is>
      </c>
      <c r="E6" s="13" t="n">
        <v>3499</v>
      </c>
      <c r="F6" s="14" t="n">
        <v>2.1</v>
      </c>
      <c r="G6" s="14" t="n">
        <v>40</v>
      </c>
      <c r="H6" s="14" t="n">
        <v>30</v>
      </c>
      <c r="I6" s="14" t="n">
        <v>20</v>
      </c>
      <c r="J6" s="12" t="inlineStr">
        <is>
          <t>Delivered</t>
        </is>
      </c>
      <c r="K6" s="14" t="n">
        <v>5</v>
      </c>
      <c r="L6" s="13" t="n">
        <v>560</v>
      </c>
    </row>
    <row r="7">
      <c r="A7" s="12" t="inlineStr">
        <is>
          <t>AWB1006</t>
        </is>
      </c>
      <c r="B7" s="12" t="inlineStr">
        <is>
          <t>ORD5006</t>
        </is>
      </c>
      <c r="C7" s="12" t="inlineStr">
        <is>
          <t>A</t>
        </is>
      </c>
      <c r="D7" s="12" t="inlineStr">
        <is>
          <t>COD</t>
        </is>
      </c>
      <c r="E7" s="13" t="n">
        <v>599</v>
      </c>
      <c r="F7" s="14" t="n">
        <v>0.2</v>
      </c>
      <c r="G7" s="14" t="n">
        <v>12</v>
      </c>
      <c r="H7" s="14" t="n">
        <v>10</v>
      </c>
      <c r="I7" s="14" t="n">
        <v>8</v>
      </c>
      <c r="J7" s="12" t="inlineStr">
        <is>
          <t>Delivered</t>
        </is>
      </c>
      <c r="K7" s="14" t="n">
        <v>0.5</v>
      </c>
      <c r="L7" s="13" t="n">
        <v>65</v>
      </c>
    </row>
    <row r="8">
      <c r="A8" s="12" t="inlineStr">
        <is>
          <t>AWB1007</t>
        </is>
      </c>
      <c r="B8" s="12" t="inlineStr">
        <is>
          <t>ORD5007</t>
        </is>
      </c>
      <c r="C8" s="12" t="inlineStr">
        <is>
          <t>B</t>
        </is>
      </c>
      <c r="D8" s="12" t="inlineStr">
        <is>
          <t>Prepaid</t>
        </is>
      </c>
      <c r="E8" s="13" t="n">
        <v>1299</v>
      </c>
      <c r="F8" s="14" t="n">
        <v>0.6</v>
      </c>
      <c r="G8" s="14" t="n">
        <v>22</v>
      </c>
      <c r="H8" s="14" t="n">
        <v>18</v>
      </c>
      <c r="I8" s="14" t="n">
        <v>10</v>
      </c>
      <c r="J8" s="12" t="inlineStr">
        <is>
          <t>Delivered</t>
        </is>
      </c>
      <c r="K8" s="14" t="n">
        <v>1</v>
      </c>
      <c r="L8" s="13" t="n">
        <v>80</v>
      </c>
    </row>
    <row r="9">
      <c r="A9" s="12" t="inlineStr">
        <is>
          <t>AWB1008</t>
        </is>
      </c>
      <c r="B9" s="12" t="inlineStr">
        <is>
          <t>ORD5008</t>
        </is>
      </c>
      <c r="C9" s="12" t="inlineStr">
        <is>
          <t>C</t>
        </is>
      </c>
      <c r="D9" s="12" t="inlineStr">
        <is>
          <t>COD</t>
        </is>
      </c>
      <c r="E9" s="13" t="n">
        <v>1799</v>
      </c>
      <c r="F9" s="14" t="n">
        <v>1</v>
      </c>
      <c r="G9" s="14" t="n">
        <v>28</v>
      </c>
      <c r="H9" s="14" t="n">
        <v>22</v>
      </c>
      <c r="I9" s="14" t="n">
        <v>14</v>
      </c>
      <c r="J9" s="12" t="inlineStr">
        <is>
          <t>RTO</t>
        </is>
      </c>
      <c r="K9" s="14" t="n">
        <v>2</v>
      </c>
      <c r="L9" s="13" t="n">
        <v>341</v>
      </c>
    </row>
    <row r="10">
      <c r="A10" s="12" t="inlineStr">
        <is>
          <t>AWB1009</t>
        </is>
      </c>
      <c r="B10" s="12" t="inlineStr">
        <is>
          <t>ORD5009</t>
        </is>
      </c>
      <c r="C10" s="12" t="inlineStr">
        <is>
          <t>D</t>
        </is>
      </c>
      <c r="D10" s="12" t="inlineStr">
        <is>
          <t>Prepaid</t>
        </is>
      </c>
      <c r="E10" s="13" t="n">
        <v>2599</v>
      </c>
      <c r="F10" s="14" t="n">
        <v>1.8</v>
      </c>
      <c r="G10" s="14" t="n">
        <v>35</v>
      </c>
      <c r="H10" s="14" t="n">
        <v>28</v>
      </c>
      <c r="I10" s="14" t="n">
        <v>18</v>
      </c>
      <c r="J10" s="12" t="inlineStr">
        <is>
          <t>Delivered</t>
        </is>
      </c>
      <c r="K10" s="14" t="n">
        <v>4</v>
      </c>
      <c r="L10" s="13" t="n">
        <v>305</v>
      </c>
    </row>
    <row r="11">
      <c r="A11" s="12" t="inlineStr">
        <is>
          <t>AWB1010</t>
        </is>
      </c>
      <c r="B11" s="12" t="inlineStr">
        <is>
          <t>ORD5010</t>
        </is>
      </c>
      <c r="C11" s="12" t="inlineStr">
        <is>
          <t>E</t>
        </is>
      </c>
      <c r="D11" s="12" t="inlineStr">
        <is>
          <t>COD</t>
        </is>
      </c>
      <c r="E11" s="13" t="n">
        <v>4299</v>
      </c>
      <c r="F11" s="14" t="n">
        <v>3</v>
      </c>
      <c r="G11" s="14" t="n">
        <v>45</v>
      </c>
      <c r="H11" s="14" t="n">
        <v>35</v>
      </c>
      <c r="I11" s="14" t="n">
        <v>25</v>
      </c>
      <c r="J11" s="12" t="inlineStr">
        <is>
          <t>Delivered</t>
        </is>
      </c>
      <c r="K11" s="14" t="n">
        <v>8</v>
      </c>
      <c r="L11" s="13" t="n">
        <v>926</v>
      </c>
    </row>
    <row r="12">
      <c r="A12" s="12" t="inlineStr">
        <is>
          <t>AWB1011</t>
        </is>
      </c>
      <c r="B12" s="12" t="inlineStr">
        <is>
          <t>ORD5011</t>
        </is>
      </c>
      <c r="C12" s="12" t="inlineStr">
        <is>
          <t>A</t>
        </is>
      </c>
      <c r="D12" s="12" t="inlineStr">
        <is>
          <t>Prepaid</t>
        </is>
      </c>
      <c r="E12" s="13" t="n">
        <v>749</v>
      </c>
      <c r="F12" s="14" t="n">
        <v>0.35</v>
      </c>
      <c r="G12" s="14" t="n">
        <v>18</v>
      </c>
      <c r="H12" s="14" t="n">
        <v>14</v>
      </c>
      <c r="I12" s="14" t="n">
        <v>9</v>
      </c>
      <c r="J12" s="12" t="inlineStr">
        <is>
          <t>Delivered</t>
        </is>
      </c>
      <c r="K12" s="14" t="n">
        <v>0.5</v>
      </c>
      <c r="L12" s="13" t="n">
        <v>55</v>
      </c>
    </row>
    <row r="13">
      <c r="A13" s="12" t="inlineStr">
        <is>
          <t>AWB1012</t>
        </is>
      </c>
      <c r="B13" s="12" t="inlineStr">
        <is>
          <t>ORD5012</t>
        </is>
      </c>
      <c r="C13" s="12" t="inlineStr">
        <is>
          <t>B</t>
        </is>
      </c>
      <c r="D13" s="12" t="inlineStr">
        <is>
          <t>Prepaid</t>
        </is>
      </c>
      <c r="E13" s="13" t="n">
        <v>1099</v>
      </c>
      <c r="F13" s="14" t="n">
        <v>0.5</v>
      </c>
      <c r="G13" s="14" t="n">
        <v>20</v>
      </c>
      <c r="H13" s="14" t="n">
        <v>16</v>
      </c>
      <c r="I13" s="14" t="n">
        <v>11</v>
      </c>
      <c r="J13" s="12" t="inlineStr">
        <is>
          <t>Delivered</t>
        </is>
      </c>
      <c r="K13" s="14" t="n">
        <v>1</v>
      </c>
      <c r="L13" s="13" t="n">
        <v>45</v>
      </c>
    </row>
    <row r="210">
      <c r="A210" s="11" t="inlineStr">
        <is>
          <t>Replace these sample rows with your own courier billing export. Keep the same column order (paste-special &gt; values if columns differ).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  <col width="20" customWidth="1" min="9" max="9"/>
    <col width="16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2" customWidth="1" min="16" max="16"/>
    <col width="16" customWidth="1" min="17" max="17"/>
  </cols>
  <sheetData>
    <row r="1">
      <c r="A1" s="5" t="inlineStr">
        <is>
          <t>AWB / Tracking No</t>
        </is>
      </c>
      <c r="B1" s="5" t="inlineStr">
        <is>
          <t>Zone</t>
        </is>
      </c>
      <c r="C1" s="5" t="inlineStr">
        <is>
          <t>Payment Mode</t>
        </is>
      </c>
      <c r="D1" s="5" t="inlineStr">
        <is>
          <t>Shipment Status</t>
        </is>
      </c>
      <c r="E1" s="5" t="inlineStr">
        <is>
          <t>Actual Weight (kg)</t>
        </is>
      </c>
      <c r="F1" s="5" t="inlineStr">
        <is>
          <t>Volumetric Weight (kg)</t>
        </is>
      </c>
      <c r="G1" s="5" t="inlineStr">
        <is>
          <t>Chargeable Weight (kg)</t>
        </is>
      </c>
      <c r="H1" s="5" t="inlineStr">
        <is>
          <t>Billed Weight by Courier (kg)</t>
        </is>
      </c>
      <c r="I1" s="5" t="inlineStr">
        <is>
          <t>Weight Check</t>
        </is>
      </c>
      <c r="J1" s="5" t="inlineStr">
        <is>
          <t>Expected Base Freight (Rs)</t>
        </is>
      </c>
      <c r="K1" s="5" t="inlineStr">
        <is>
          <t>Expected Additional Weight Charge (Rs)</t>
        </is>
      </c>
      <c r="L1" s="5" t="inlineStr">
        <is>
          <t>Expected COD Charge (Rs)</t>
        </is>
      </c>
      <c r="M1" s="5" t="inlineStr">
        <is>
          <t>Expected RTO Charge (Rs)</t>
        </is>
      </c>
      <c r="N1" s="5" t="inlineStr">
        <is>
          <t>Total Expected Charge (Rs)</t>
        </is>
      </c>
      <c r="O1" s="5" t="inlineStr">
        <is>
          <t>Billed Amount by Courier (Rs)</t>
        </is>
      </c>
      <c r="P1" s="5" t="inlineStr">
        <is>
          <t>Variance (Rs)</t>
        </is>
      </c>
      <c r="Q1" s="5" t="inlineStr">
        <is>
          <t>Verdict</t>
        </is>
      </c>
    </row>
    <row r="2">
      <c r="A2" s="15">
        <f>IF('Shipment Data'!A2="","",'Shipment Data'!A2)</f>
        <v/>
      </c>
      <c r="B2" s="15">
        <f>IF('Shipment Data'!A2="","",'Shipment Data'!C2)</f>
        <v/>
      </c>
      <c r="C2" s="15">
        <f>IF('Shipment Data'!A2="","",'Shipment Data'!D2)</f>
        <v/>
      </c>
      <c r="D2" s="15">
        <f>IF('Shipment Data'!A2="","",'Shipment Data'!J2)</f>
        <v/>
      </c>
      <c r="E2" s="16">
        <f>IF('Shipment Data'!A2="","",'Shipment Data'!F2)</f>
        <v/>
      </c>
      <c r="F2" s="17">
        <f>IF('Shipment Data'!A2="","",('Shipment Data'!G2*'Shipment Data'!H2*'Shipment Data'!I2)/5000)</f>
        <v/>
      </c>
      <c r="G2" s="17">
        <f>IF('Shipment Data'!A2="","",CEILING(MAX(E2,F2),0.5))</f>
        <v/>
      </c>
      <c r="H2" s="16">
        <f>IF('Shipment Data'!A2="","",'Shipment Data'!K2)</f>
        <v/>
      </c>
      <c r="I2" s="6">
        <f>IF('Shipment Data'!A2="","",IF(H2&gt;G2,"COURIER OVER-ROUNDED WEIGHT","OK"))</f>
        <v/>
      </c>
      <c r="J2" s="18">
        <f>IF('Shipment Data'!A2="","",INDEX('Rate Card'!$D$4:$D$8,MATCH(B2,'Rate Card'!$A$4:$A$8,0)))</f>
        <v/>
      </c>
      <c r="K2" s="18">
        <f>IF('Shipment Data'!A2="","",ROUND((G2-INDEX('Rate Card'!$C$4:$C$8,MATCH(B2,'Rate Card'!$A$4:$A$8,0)))/0.5,0)*INDEX('Rate Card'!$E$4:$E$8,MATCH(B2,'Rate Card'!$A$4:$A$8,0)))</f>
        <v/>
      </c>
      <c r="L2" s="18">
        <f>IF('Shipment Data'!A2="","",IF(C2="COD",MAX('Shipment Data'!E2*INDEX('Rate Card'!$F$4:$F$8,MATCH(B2,'Rate Card'!$A$4:$A$8,0)),INDEX('Rate Card'!$G$4:$G$8,MATCH(B2,'Rate Card'!$A$4:$A$8,0))),0))</f>
        <v/>
      </c>
      <c r="M2" s="18">
        <f>IF('Shipment Data'!A2="","",IF(D2="RTO",(J2+K2)*INDEX('Rate Card'!$H$4:$H$8,MATCH(B2,'Rate Card'!$A$4:$A$8,0)),0))</f>
        <v/>
      </c>
      <c r="N2" s="19">
        <f>IF('Shipment Data'!A2="","",J2+K2+L2+M2)</f>
        <v/>
      </c>
      <c r="O2" s="18">
        <f>IF('Shipment Data'!A2="","",'Shipment Data'!L2)</f>
        <v/>
      </c>
      <c r="P2" s="19">
        <f>IF('Shipment Data'!A2="","",O2-N2)</f>
        <v/>
      </c>
      <c r="Q2" s="6">
        <f>IF('Shipment Data'!A2="","",IF(P2&gt;1,"OVERCHARGED",IF(P2&lt;-1,"UNDERBILLED","MATCH")))</f>
        <v/>
      </c>
    </row>
    <row r="3">
      <c r="A3" s="15">
        <f>IF('Shipment Data'!A3="","",'Shipment Data'!A3)</f>
        <v/>
      </c>
      <c r="B3" s="15">
        <f>IF('Shipment Data'!A3="","",'Shipment Data'!C3)</f>
        <v/>
      </c>
      <c r="C3" s="15">
        <f>IF('Shipment Data'!A3="","",'Shipment Data'!D3)</f>
        <v/>
      </c>
      <c r="D3" s="15">
        <f>IF('Shipment Data'!A3="","",'Shipment Data'!J3)</f>
        <v/>
      </c>
      <c r="E3" s="16">
        <f>IF('Shipment Data'!A3="","",'Shipment Data'!F3)</f>
        <v/>
      </c>
      <c r="F3" s="17">
        <f>IF('Shipment Data'!A3="","",('Shipment Data'!G3*'Shipment Data'!H3*'Shipment Data'!I3)/5000)</f>
        <v/>
      </c>
      <c r="G3" s="17">
        <f>IF('Shipment Data'!A3="","",CEILING(MAX(E3,F3),0.5))</f>
        <v/>
      </c>
      <c r="H3" s="16">
        <f>IF('Shipment Data'!A3="","",'Shipment Data'!K3)</f>
        <v/>
      </c>
      <c r="I3" s="6">
        <f>IF('Shipment Data'!A3="","",IF(H3&gt;G3,"COURIER OVER-ROUNDED WEIGHT","OK"))</f>
        <v/>
      </c>
      <c r="J3" s="18">
        <f>IF('Shipment Data'!A3="","",INDEX('Rate Card'!$D$4:$D$8,MATCH(B3,'Rate Card'!$A$4:$A$8,0)))</f>
        <v/>
      </c>
      <c r="K3" s="18">
        <f>IF('Shipment Data'!A3="","",ROUND((G3-INDEX('Rate Card'!$C$4:$C$8,MATCH(B3,'Rate Card'!$A$4:$A$8,0)))/0.5,0)*INDEX('Rate Card'!$E$4:$E$8,MATCH(B3,'Rate Card'!$A$4:$A$8,0)))</f>
        <v/>
      </c>
      <c r="L3" s="18">
        <f>IF('Shipment Data'!A3="","",IF(C3="COD",MAX('Shipment Data'!E3*INDEX('Rate Card'!$F$4:$F$8,MATCH(B3,'Rate Card'!$A$4:$A$8,0)),INDEX('Rate Card'!$G$4:$G$8,MATCH(B3,'Rate Card'!$A$4:$A$8,0))),0))</f>
        <v/>
      </c>
      <c r="M3" s="18">
        <f>IF('Shipment Data'!A3="","",IF(D3="RTO",(J3+K3)*INDEX('Rate Card'!$H$4:$H$8,MATCH(B3,'Rate Card'!$A$4:$A$8,0)),0))</f>
        <v/>
      </c>
      <c r="N3" s="19">
        <f>IF('Shipment Data'!A3="","",J3+K3+L3+M3)</f>
        <v/>
      </c>
      <c r="O3" s="18">
        <f>IF('Shipment Data'!A3="","",'Shipment Data'!L3)</f>
        <v/>
      </c>
      <c r="P3" s="19">
        <f>IF('Shipment Data'!A3="","",O3-N3)</f>
        <v/>
      </c>
      <c r="Q3" s="6">
        <f>IF('Shipment Data'!A3="","",IF(P3&gt;1,"OVERCHARGED",IF(P3&lt;-1,"UNDERBILLED","MATCH")))</f>
        <v/>
      </c>
    </row>
    <row r="4">
      <c r="A4" s="15">
        <f>IF('Shipment Data'!A4="","",'Shipment Data'!A4)</f>
        <v/>
      </c>
      <c r="B4" s="15">
        <f>IF('Shipment Data'!A4="","",'Shipment Data'!C4)</f>
        <v/>
      </c>
      <c r="C4" s="15">
        <f>IF('Shipment Data'!A4="","",'Shipment Data'!D4)</f>
        <v/>
      </c>
      <c r="D4" s="15">
        <f>IF('Shipment Data'!A4="","",'Shipment Data'!J4)</f>
        <v/>
      </c>
      <c r="E4" s="16">
        <f>IF('Shipment Data'!A4="","",'Shipment Data'!F4)</f>
        <v/>
      </c>
      <c r="F4" s="17">
        <f>IF('Shipment Data'!A4="","",('Shipment Data'!G4*'Shipment Data'!H4*'Shipment Data'!I4)/5000)</f>
        <v/>
      </c>
      <c r="G4" s="17">
        <f>IF('Shipment Data'!A4="","",CEILING(MAX(E4,F4),0.5))</f>
        <v/>
      </c>
      <c r="H4" s="16">
        <f>IF('Shipment Data'!A4="","",'Shipment Data'!K4)</f>
        <v/>
      </c>
      <c r="I4" s="6">
        <f>IF('Shipment Data'!A4="","",IF(H4&gt;G4,"COURIER OVER-ROUNDED WEIGHT","OK"))</f>
        <v/>
      </c>
      <c r="J4" s="18">
        <f>IF('Shipment Data'!A4="","",INDEX('Rate Card'!$D$4:$D$8,MATCH(B4,'Rate Card'!$A$4:$A$8,0)))</f>
        <v/>
      </c>
      <c r="K4" s="18">
        <f>IF('Shipment Data'!A4="","",ROUND((G4-INDEX('Rate Card'!$C$4:$C$8,MATCH(B4,'Rate Card'!$A$4:$A$8,0)))/0.5,0)*INDEX('Rate Card'!$E$4:$E$8,MATCH(B4,'Rate Card'!$A$4:$A$8,0)))</f>
        <v/>
      </c>
      <c r="L4" s="18">
        <f>IF('Shipment Data'!A4="","",IF(C4="COD",MAX('Shipment Data'!E4*INDEX('Rate Card'!$F$4:$F$8,MATCH(B4,'Rate Card'!$A$4:$A$8,0)),INDEX('Rate Card'!$G$4:$G$8,MATCH(B4,'Rate Card'!$A$4:$A$8,0))),0))</f>
        <v/>
      </c>
      <c r="M4" s="18">
        <f>IF('Shipment Data'!A4="","",IF(D4="RTO",(J4+K4)*INDEX('Rate Card'!$H$4:$H$8,MATCH(B4,'Rate Card'!$A$4:$A$8,0)),0))</f>
        <v/>
      </c>
      <c r="N4" s="19">
        <f>IF('Shipment Data'!A4="","",J4+K4+L4+M4)</f>
        <v/>
      </c>
      <c r="O4" s="18">
        <f>IF('Shipment Data'!A4="","",'Shipment Data'!L4)</f>
        <v/>
      </c>
      <c r="P4" s="19">
        <f>IF('Shipment Data'!A4="","",O4-N4)</f>
        <v/>
      </c>
      <c r="Q4" s="6">
        <f>IF('Shipment Data'!A4="","",IF(P4&gt;1,"OVERCHARGED",IF(P4&lt;-1,"UNDERBILLED","MATCH")))</f>
        <v/>
      </c>
    </row>
    <row r="5">
      <c r="A5" s="15">
        <f>IF('Shipment Data'!A5="","",'Shipment Data'!A5)</f>
        <v/>
      </c>
      <c r="B5" s="15">
        <f>IF('Shipment Data'!A5="","",'Shipment Data'!C5)</f>
        <v/>
      </c>
      <c r="C5" s="15">
        <f>IF('Shipment Data'!A5="","",'Shipment Data'!D5)</f>
        <v/>
      </c>
      <c r="D5" s="15">
        <f>IF('Shipment Data'!A5="","",'Shipment Data'!J5)</f>
        <v/>
      </c>
      <c r="E5" s="16">
        <f>IF('Shipment Data'!A5="","",'Shipment Data'!F5)</f>
        <v/>
      </c>
      <c r="F5" s="17">
        <f>IF('Shipment Data'!A5="","",('Shipment Data'!G5*'Shipment Data'!H5*'Shipment Data'!I5)/5000)</f>
        <v/>
      </c>
      <c r="G5" s="17">
        <f>IF('Shipment Data'!A5="","",CEILING(MAX(E5,F5),0.5))</f>
        <v/>
      </c>
      <c r="H5" s="16">
        <f>IF('Shipment Data'!A5="","",'Shipment Data'!K5)</f>
        <v/>
      </c>
      <c r="I5" s="6">
        <f>IF('Shipment Data'!A5="","",IF(H5&gt;G5,"COURIER OVER-ROUNDED WEIGHT","OK"))</f>
        <v/>
      </c>
      <c r="J5" s="18">
        <f>IF('Shipment Data'!A5="","",INDEX('Rate Card'!$D$4:$D$8,MATCH(B5,'Rate Card'!$A$4:$A$8,0)))</f>
        <v/>
      </c>
      <c r="K5" s="18">
        <f>IF('Shipment Data'!A5="","",ROUND((G5-INDEX('Rate Card'!$C$4:$C$8,MATCH(B5,'Rate Card'!$A$4:$A$8,0)))/0.5,0)*INDEX('Rate Card'!$E$4:$E$8,MATCH(B5,'Rate Card'!$A$4:$A$8,0)))</f>
        <v/>
      </c>
      <c r="L5" s="18">
        <f>IF('Shipment Data'!A5="","",IF(C5="COD",MAX('Shipment Data'!E5*INDEX('Rate Card'!$F$4:$F$8,MATCH(B5,'Rate Card'!$A$4:$A$8,0)),INDEX('Rate Card'!$G$4:$G$8,MATCH(B5,'Rate Card'!$A$4:$A$8,0))),0))</f>
        <v/>
      </c>
      <c r="M5" s="18">
        <f>IF('Shipment Data'!A5="","",IF(D5="RTO",(J5+K5)*INDEX('Rate Card'!$H$4:$H$8,MATCH(B5,'Rate Card'!$A$4:$A$8,0)),0))</f>
        <v/>
      </c>
      <c r="N5" s="19">
        <f>IF('Shipment Data'!A5="","",J5+K5+L5+M5)</f>
        <v/>
      </c>
      <c r="O5" s="18">
        <f>IF('Shipment Data'!A5="","",'Shipment Data'!L5)</f>
        <v/>
      </c>
      <c r="P5" s="19">
        <f>IF('Shipment Data'!A5="","",O5-N5)</f>
        <v/>
      </c>
      <c r="Q5" s="6">
        <f>IF('Shipment Data'!A5="","",IF(P5&gt;1,"OVERCHARGED",IF(P5&lt;-1,"UNDERBILLED","MATCH")))</f>
        <v/>
      </c>
    </row>
    <row r="6">
      <c r="A6" s="15">
        <f>IF('Shipment Data'!A6="","",'Shipment Data'!A6)</f>
        <v/>
      </c>
      <c r="B6" s="15">
        <f>IF('Shipment Data'!A6="","",'Shipment Data'!C6)</f>
        <v/>
      </c>
      <c r="C6" s="15">
        <f>IF('Shipment Data'!A6="","",'Shipment Data'!D6)</f>
        <v/>
      </c>
      <c r="D6" s="15">
        <f>IF('Shipment Data'!A6="","",'Shipment Data'!J6)</f>
        <v/>
      </c>
      <c r="E6" s="16">
        <f>IF('Shipment Data'!A6="","",'Shipment Data'!F6)</f>
        <v/>
      </c>
      <c r="F6" s="17">
        <f>IF('Shipment Data'!A6="","",('Shipment Data'!G6*'Shipment Data'!H6*'Shipment Data'!I6)/5000)</f>
        <v/>
      </c>
      <c r="G6" s="17">
        <f>IF('Shipment Data'!A6="","",CEILING(MAX(E6,F6),0.5))</f>
        <v/>
      </c>
      <c r="H6" s="16">
        <f>IF('Shipment Data'!A6="","",'Shipment Data'!K6)</f>
        <v/>
      </c>
      <c r="I6" s="6">
        <f>IF('Shipment Data'!A6="","",IF(H6&gt;G6,"COURIER OVER-ROUNDED WEIGHT","OK"))</f>
        <v/>
      </c>
      <c r="J6" s="18">
        <f>IF('Shipment Data'!A6="","",INDEX('Rate Card'!$D$4:$D$8,MATCH(B6,'Rate Card'!$A$4:$A$8,0)))</f>
        <v/>
      </c>
      <c r="K6" s="18">
        <f>IF('Shipment Data'!A6="","",ROUND((G6-INDEX('Rate Card'!$C$4:$C$8,MATCH(B6,'Rate Card'!$A$4:$A$8,0)))/0.5,0)*INDEX('Rate Card'!$E$4:$E$8,MATCH(B6,'Rate Card'!$A$4:$A$8,0)))</f>
        <v/>
      </c>
      <c r="L6" s="18">
        <f>IF('Shipment Data'!A6="","",IF(C6="COD",MAX('Shipment Data'!E6*INDEX('Rate Card'!$F$4:$F$8,MATCH(B6,'Rate Card'!$A$4:$A$8,0)),INDEX('Rate Card'!$G$4:$G$8,MATCH(B6,'Rate Card'!$A$4:$A$8,0))),0))</f>
        <v/>
      </c>
      <c r="M6" s="18">
        <f>IF('Shipment Data'!A6="","",IF(D6="RTO",(J6+K6)*INDEX('Rate Card'!$H$4:$H$8,MATCH(B6,'Rate Card'!$A$4:$A$8,0)),0))</f>
        <v/>
      </c>
      <c r="N6" s="19">
        <f>IF('Shipment Data'!A6="","",J6+K6+L6+M6)</f>
        <v/>
      </c>
      <c r="O6" s="18">
        <f>IF('Shipment Data'!A6="","",'Shipment Data'!L6)</f>
        <v/>
      </c>
      <c r="P6" s="19">
        <f>IF('Shipment Data'!A6="","",O6-N6)</f>
        <v/>
      </c>
      <c r="Q6" s="6">
        <f>IF('Shipment Data'!A6="","",IF(P6&gt;1,"OVERCHARGED",IF(P6&lt;-1,"UNDERBILLED","MATCH")))</f>
        <v/>
      </c>
    </row>
    <row r="7">
      <c r="A7" s="15">
        <f>IF('Shipment Data'!A7="","",'Shipment Data'!A7)</f>
        <v/>
      </c>
      <c r="B7" s="15">
        <f>IF('Shipment Data'!A7="","",'Shipment Data'!C7)</f>
        <v/>
      </c>
      <c r="C7" s="15">
        <f>IF('Shipment Data'!A7="","",'Shipment Data'!D7)</f>
        <v/>
      </c>
      <c r="D7" s="15">
        <f>IF('Shipment Data'!A7="","",'Shipment Data'!J7)</f>
        <v/>
      </c>
      <c r="E7" s="16">
        <f>IF('Shipment Data'!A7="","",'Shipment Data'!F7)</f>
        <v/>
      </c>
      <c r="F7" s="17">
        <f>IF('Shipment Data'!A7="","",('Shipment Data'!G7*'Shipment Data'!H7*'Shipment Data'!I7)/5000)</f>
        <v/>
      </c>
      <c r="G7" s="17">
        <f>IF('Shipment Data'!A7="","",CEILING(MAX(E7,F7),0.5))</f>
        <v/>
      </c>
      <c r="H7" s="16">
        <f>IF('Shipment Data'!A7="","",'Shipment Data'!K7)</f>
        <v/>
      </c>
      <c r="I7" s="6">
        <f>IF('Shipment Data'!A7="","",IF(H7&gt;G7,"COURIER OVER-ROUNDED WEIGHT","OK"))</f>
        <v/>
      </c>
      <c r="J7" s="18">
        <f>IF('Shipment Data'!A7="","",INDEX('Rate Card'!$D$4:$D$8,MATCH(B7,'Rate Card'!$A$4:$A$8,0)))</f>
        <v/>
      </c>
      <c r="K7" s="18">
        <f>IF('Shipment Data'!A7="","",ROUND((G7-INDEX('Rate Card'!$C$4:$C$8,MATCH(B7,'Rate Card'!$A$4:$A$8,0)))/0.5,0)*INDEX('Rate Card'!$E$4:$E$8,MATCH(B7,'Rate Card'!$A$4:$A$8,0)))</f>
        <v/>
      </c>
      <c r="L7" s="18">
        <f>IF('Shipment Data'!A7="","",IF(C7="COD",MAX('Shipment Data'!E7*INDEX('Rate Card'!$F$4:$F$8,MATCH(B7,'Rate Card'!$A$4:$A$8,0)),INDEX('Rate Card'!$G$4:$G$8,MATCH(B7,'Rate Card'!$A$4:$A$8,0))),0))</f>
        <v/>
      </c>
      <c r="M7" s="18">
        <f>IF('Shipment Data'!A7="","",IF(D7="RTO",(J7+K7)*INDEX('Rate Card'!$H$4:$H$8,MATCH(B7,'Rate Card'!$A$4:$A$8,0)),0))</f>
        <v/>
      </c>
      <c r="N7" s="19">
        <f>IF('Shipment Data'!A7="","",J7+K7+L7+M7)</f>
        <v/>
      </c>
      <c r="O7" s="18">
        <f>IF('Shipment Data'!A7="","",'Shipment Data'!L7)</f>
        <v/>
      </c>
      <c r="P7" s="19">
        <f>IF('Shipment Data'!A7="","",O7-N7)</f>
        <v/>
      </c>
      <c r="Q7" s="6">
        <f>IF('Shipment Data'!A7="","",IF(P7&gt;1,"OVERCHARGED",IF(P7&lt;-1,"UNDERBILLED","MATCH")))</f>
        <v/>
      </c>
    </row>
    <row r="8">
      <c r="A8" s="15">
        <f>IF('Shipment Data'!A8="","",'Shipment Data'!A8)</f>
        <v/>
      </c>
      <c r="B8" s="15">
        <f>IF('Shipment Data'!A8="","",'Shipment Data'!C8)</f>
        <v/>
      </c>
      <c r="C8" s="15">
        <f>IF('Shipment Data'!A8="","",'Shipment Data'!D8)</f>
        <v/>
      </c>
      <c r="D8" s="15">
        <f>IF('Shipment Data'!A8="","",'Shipment Data'!J8)</f>
        <v/>
      </c>
      <c r="E8" s="16">
        <f>IF('Shipment Data'!A8="","",'Shipment Data'!F8)</f>
        <v/>
      </c>
      <c r="F8" s="17">
        <f>IF('Shipment Data'!A8="","",('Shipment Data'!G8*'Shipment Data'!H8*'Shipment Data'!I8)/5000)</f>
        <v/>
      </c>
      <c r="G8" s="17">
        <f>IF('Shipment Data'!A8="","",CEILING(MAX(E8,F8),0.5))</f>
        <v/>
      </c>
      <c r="H8" s="16">
        <f>IF('Shipment Data'!A8="","",'Shipment Data'!K8)</f>
        <v/>
      </c>
      <c r="I8" s="6">
        <f>IF('Shipment Data'!A8="","",IF(H8&gt;G8,"COURIER OVER-ROUNDED WEIGHT","OK"))</f>
        <v/>
      </c>
      <c r="J8" s="18">
        <f>IF('Shipment Data'!A8="","",INDEX('Rate Card'!$D$4:$D$8,MATCH(B8,'Rate Card'!$A$4:$A$8,0)))</f>
        <v/>
      </c>
      <c r="K8" s="18">
        <f>IF('Shipment Data'!A8="","",ROUND((G8-INDEX('Rate Card'!$C$4:$C$8,MATCH(B8,'Rate Card'!$A$4:$A$8,0)))/0.5,0)*INDEX('Rate Card'!$E$4:$E$8,MATCH(B8,'Rate Card'!$A$4:$A$8,0)))</f>
        <v/>
      </c>
      <c r="L8" s="18">
        <f>IF('Shipment Data'!A8="","",IF(C8="COD",MAX('Shipment Data'!E8*INDEX('Rate Card'!$F$4:$F$8,MATCH(B8,'Rate Card'!$A$4:$A$8,0)),INDEX('Rate Card'!$G$4:$G$8,MATCH(B8,'Rate Card'!$A$4:$A$8,0))),0))</f>
        <v/>
      </c>
      <c r="M8" s="18">
        <f>IF('Shipment Data'!A8="","",IF(D8="RTO",(J8+K8)*INDEX('Rate Card'!$H$4:$H$8,MATCH(B8,'Rate Card'!$A$4:$A$8,0)),0))</f>
        <v/>
      </c>
      <c r="N8" s="19">
        <f>IF('Shipment Data'!A8="","",J8+K8+L8+M8)</f>
        <v/>
      </c>
      <c r="O8" s="18">
        <f>IF('Shipment Data'!A8="","",'Shipment Data'!L8)</f>
        <v/>
      </c>
      <c r="P8" s="19">
        <f>IF('Shipment Data'!A8="","",O8-N8)</f>
        <v/>
      </c>
      <c r="Q8" s="6">
        <f>IF('Shipment Data'!A8="","",IF(P8&gt;1,"OVERCHARGED",IF(P8&lt;-1,"UNDERBILLED","MATCH")))</f>
        <v/>
      </c>
    </row>
    <row r="9">
      <c r="A9" s="15">
        <f>IF('Shipment Data'!A9="","",'Shipment Data'!A9)</f>
        <v/>
      </c>
      <c r="B9" s="15">
        <f>IF('Shipment Data'!A9="","",'Shipment Data'!C9)</f>
        <v/>
      </c>
      <c r="C9" s="15">
        <f>IF('Shipment Data'!A9="","",'Shipment Data'!D9)</f>
        <v/>
      </c>
      <c r="D9" s="15">
        <f>IF('Shipment Data'!A9="","",'Shipment Data'!J9)</f>
        <v/>
      </c>
      <c r="E9" s="16">
        <f>IF('Shipment Data'!A9="","",'Shipment Data'!F9)</f>
        <v/>
      </c>
      <c r="F9" s="17">
        <f>IF('Shipment Data'!A9="","",('Shipment Data'!G9*'Shipment Data'!H9*'Shipment Data'!I9)/5000)</f>
        <v/>
      </c>
      <c r="G9" s="17">
        <f>IF('Shipment Data'!A9="","",CEILING(MAX(E9,F9),0.5))</f>
        <v/>
      </c>
      <c r="H9" s="16">
        <f>IF('Shipment Data'!A9="","",'Shipment Data'!K9)</f>
        <v/>
      </c>
      <c r="I9" s="6">
        <f>IF('Shipment Data'!A9="","",IF(H9&gt;G9,"COURIER OVER-ROUNDED WEIGHT","OK"))</f>
        <v/>
      </c>
      <c r="J9" s="18">
        <f>IF('Shipment Data'!A9="","",INDEX('Rate Card'!$D$4:$D$8,MATCH(B9,'Rate Card'!$A$4:$A$8,0)))</f>
        <v/>
      </c>
      <c r="K9" s="18">
        <f>IF('Shipment Data'!A9="","",ROUND((G9-INDEX('Rate Card'!$C$4:$C$8,MATCH(B9,'Rate Card'!$A$4:$A$8,0)))/0.5,0)*INDEX('Rate Card'!$E$4:$E$8,MATCH(B9,'Rate Card'!$A$4:$A$8,0)))</f>
        <v/>
      </c>
      <c r="L9" s="18">
        <f>IF('Shipment Data'!A9="","",IF(C9="COD",MAX('Shipment Data'!E9*INDEX('Rate Card'!$F$4:$F$8,MATCH(B9,'Rate Card'!$A$4:$A$8,0)),INDEX('Rate Card'!$G$4:$G$8,MATCH(B9,'Rate Card'!$A$4:$A$8,0))),0))</f>
        <v/>
      </c>
      <c r="M9" s="18">
        <f>IF('Shipment Data'!A9="","",IF(D9="RTO",(J9+K9)*INDEX('Rate Card'!$H$4:$H$8,MATCH(B9,'Rate Card'!$A$4:$A$8,0)),0))</f>
        <v/>
      </c>
      <c r="N9" s="19">
        <f>IF('Shipment Data'!A9="","",J9+K9+L9+M9)</f>
        <v/>
      </c>
      <c r="O9" s="18">
        <f>IF('Shipment Data'!A9="","",'Shipment Data'!L9)</f>
        <v/>
      </c>
      <c r="P9" s="19">
        <f>IF('Shipment Data'!A9="","",O9-N9)</f>
        <v/>
      </c>
      <c r="Q9" s="6">
        <f>IF('Shipment Data'!A9="","",IF(P9&gt;1,"OVERCHARGED",IF(P9&lt;-1,"UNDERBILLED","MATCH")))</f>
        <v/>
      </c>
    </row>
    <row r="10">
      <c r="A10" s="15">
        <f>IF('Shipment Data'!A10="","",'Shipment Data'!A10)</f>
        <v/>
      </c>
      <c r="B10" s="15">
        <f>IF('Shipment Data'!A10="","",'Shipment Data'!C10)</f>
        <v/>
      </c>
      <c r="C10" s="15">
        <f>IF('Shipment Data'!A10="","",'Shipment Data'!D10)</f>
        <v/>
      </c>
      <c r="D10" s="15">
        <f>IF('Shipment Data'!A10="","",'Shipment Data'!J10)</f>
        <v/>
      </c>
      <c r="E10" s="16">
        <f>IF('Shipment Data'!A10="","",'Shipment Data'!F10)</f>
        <v/>
      </c>
      <c r="F10" s="17">
        <f>IF('Shipment Data'!A10="","",('Shipment Data'!G10*'Shipment Data'!H10*'Shipment Data'!I10)/5000)</f>
        <v/>
      </c>
      <c r="G10" s="17">
        <f>IF('Shipment Data'!A10="","",CEILING(MAX(E10,F10),0.5))</f>
        <v/>
      </c>
      <c r="H10" s="16">
        <f>IF('Shipment Data'!A10="","",'Shipment Data'!K10)</f>
        <v/>
      </c>
      <c r="I10" s="6">
        <f>IF('Shipment Data'!A10="","",IF(H10&gt;G10,"COURIER OVER-ROUNDED WEIGHT","OK"))</f>
        <v/>
      </c>
      <c r="J10" s="18">
        <f>IF('Shipment Data'!A10="","",INDEX('Rate Card'!$D$4:$D$8,MATCH(B10,'Rate Card'!$A$4:$A$8,0)))</f>
        <v/>
      </c>
      <c r="K10" s="18">
        <f>IF('Shipment Data'!A10="","",ROUND((G10-INDEX('Rate Card'!$C$4:$C$8,MATCH(B10,'Rate Card'!$A$4:$A$8,0)))/0.5,0)*INDEX('Rate Card'!$E$4:$E$8,MATCH(B10,'Rate Card'!$A$4:$A$8,0)))</f>
        <v/>
      </c>
      <c r="L10" s="18">
        <f>IF('Shipment Data'!A10="","",IF(C10="COD",MAX('Shipment Data'!E10*INDEX('Rate Card'!$F$4:$F$8,MATCH(B10,'Rate Card'!$A$4:$A$8,0)),INDEX('Rate Card'!$G$4:$G$8,MATCH(B10,'Rate Card'!$A$4:$A$8,0))),0))</f>
        <v/>
      </c>
      <c r="M10" s="18">
        <f>IF('Shipment Data'!A10="","",IF(D10="RTO",(J10+K10)*INDEX('Rate Card'!$H$4:$H$8,MATCH(B10,'Rate Card'!$A$4:$A$8,0)),0))</f>
        <v/>
      </c>
      <c r="N10" s="19">
        <f>IF('Shipment Data'!A10="","",J10+K10+L10+M10)</f>
        <v/>
      </c>
      <c r="O10" s="18">
        <f>IF('Shipment Data'!A10="","",'Shipment Data'!L10)</f>
        <v/>
      </c>
      <c r="P10" s="19">
        <f>IF('Shipment Data'!A10="","",O10-N10)</f>
        <v/>
      </c>
      <c r="Q10" s="6">
        <f>IF('Shipment Data'!A10="","",IF(P10&gt;1,"OVERCHARGED",IF(P10&lt;-1,"UNDERBILLED","MATCH")))</f>
        <v/>
      </c>
    </row>
    <row r="11">
      <c r="A11" s="15">
        <f>IF('Shipment Data'!A11="","",'Shipment Data'!A11)</f>
        <v/>
      </c>
      <c r="B11" s="15">
        <f>IF('Shipment Data'!A11="","",'Shipment Data'!C11)</f>
        <v/>
      </c>
      <c r="C11" s="15">
        <f>IF('Shipment Data'!A11="","",'Shipment Data'!D11)</f>
        <v/>
      </c>
      <c r="D11" s="15">
        <f>IF('Shipment Data'!A11="","",'Shipment Data'!J11)</f>
        <v/>
      </c>
      <c r="E11" s="16">
        <f>IF('Shipment Data'!A11="","",'Shipment Data'!F11)</f>
        <v/>
      </c>
      <c r="F11" s="17">
        <f>IF('Shipment Data'!A11="","",('Shipment Data'!G11*'Shipment Data'!H11*'Shipment Data'!I11)/5000)</f>
        <v/>
      </c>
      <c r="G11" s="17">
        <f>IF('Shipment Data'!A11="","",CEILING(MAX(E11,F11),0.5))</f>
        <v/>
      </c>
      <c r="H11" s="16">
        <f>IF('Shipment Data'!A11="","",'Shipment Data'!K11)</f>
        <v/>
      </c>
      <c r="I11" s="6">
        <f>IF('Shipment Data'!A11="","",IF(H11&gt;G11,"COURIER OVER-ROUNDED WEIGHT","OK"))</f>
        <v/>
      </c>
      <c r="J11" s="18">
        <f>IF('Shipment Data'!A11="","",INDEX('Rate Card'!$D$4:$D$8,MATCH(B11,'Rate Card'!$A$4:$A$8,0)))</f>
        <v/>
      </c>
      <c r="K11" s="18">
        <f>IF('Shipment Data'!A11="","",ROUND((G11-INDEX('Rate Card'!$C$4:$C$8,MATCH(B11,'Rate Card'!$A$4:$A$8,0)))/0.5,0)*INDEX('Rate Card'!$E$4:$E$8,MATCH(B11,'Rate Card'!$A$4:$A$8,0)))</f>
        <v/>
      </c>
      <c r="L11" s="18">
        <f>IF('Shipment Data'!A11="","",IF(C11="COD",MAX('Shipment Data'!E11*INDEX('Rate Card'!$F$4:$F$8,MATCH(B11,'Rate Card'!$A$4:$A$8,0)),INDEX('Rate Card'!$G$4:$G$8,MATCH(B11,'Rate Card'!$A$4:$A$8,0))),0))</f>
        <v/>
      </c>
      <c r="M11" s="18">
        <f>IF('Shipment Data'!A11="","",IF(D11="RTO",(J11+K11)*INDEX('Rate Card'!$H$4:$H$8,MATCH(B11,'Rate Card'!$A$4:$A$8,0)),0))</f>
        <v/>
      </c>
      <c r="N11" s="19">
        <f>IF('Shipment Data'!A11="","",J11+K11+L11+M11)</f>
        <v/>
      </c>
      <c r="O11" s="18">
        <f>IF('Shipment Data'!A11="","",'Shipment Data'!L11)</f>
        <v/>
      </c>
      <c r="P11" s="19">
        <f>IF('Shipment Data'!A11="","",O11-N11)</f>
        <v/>
      </c>
      <c r="Q11" s="6">
        <f>IF('Shipment Data'!A11="","",IF(P11&gt;1,"OVERCHARGED",IF(P11&lt;-1,"UNDERBILLED","MATCH")))</f>
        <v/>
      </c>
    </row>
    <row r="12">
      <c r="A12" s="15">
        <f>IF('Shipment Data'!A12="","",'Shipment Data'!A12)</f>
        <v/>
      </c>
      <c r="B12" s="15">
        <f>IF('Shipment Data'!A12="","",'Shipment Data'!C12)</f>
        <v/>
      </c>
      <c r="C12" s="15">
        <f>IF('Shipment Data'!A12="","",'Shipment Data'!D12)</f>
        <v/>
      </c>
      <c r="D12" s="15">
        <f>IF('Shipment Data'!A12="","",'Shipment Data'!J12)</f>
        <v/>
      </c>
      <c r="E12" s="16">
        <f>IF('Shipment Data'!A12="","",'Shipment Data'!F12)</f>
        <v/>
      </c>
      <c r="F12" s="17">
        <f>IF('Shipment Data'!A12="","",('Shipment Data'!G12*'Shipment Data'!H12*'Shipment Data'!I12)/5000)</f>
        <v/>
      </c>
      <c r="G12" s="17">
        <f>IF('Shipment Data'!A12="","",CEILING(MAX(E12,F12),0.5))</f>
        <v/>
      </c>
      <c r="H12" s="16">
        <f>IF('Shipment Data'!A12="","",'Shipment Data'!K12)</f>
        <v/>
      </c>
      <c r="I12" s="6">
        <f>IF('Shipment Data'!A12="","",IF(H12&gt;G12,"COURIER OVER-ROUNDED WEIGHT","OK"))</f>
        <v/>
      </c>
      <c r="J12" s="18">
        <f>IF('Shipment Data'!A12="","",INDEX('Rate Card'!$D$4:$D$8,MATCH(B12,'Rate Card'!$A$4:$A$8,0)))</f>
        <v/>
      </c>
      <c r="K12" s="18">
        <f>IF('Shipment Data'!A12="","",ROUND((G12-INDEX('Rate Card'!$C$4:$C$8,MATCH(B12,'Rate Card'!$A$4:$A$8,0)))/0.5,0)*INDEX('Rate Card'!$E$4:$E$8,MATCH(B12,'Rate Card'!$A$4:$A$8,0)))</f>
        <v/>
      </c>
      <c r="L12" s="18">
        <f>IF('Shipment Data'!A12="","",IF(C12="COD",MAX('Shipment Data'!E12*INDEX('Rate Card'!$F$4:$F$8,MATCH(B12,'Rate Card'!$A$4:$A$8,0)),INDEX('Rate Card'!$G$4:$G$8,MATCH(B12,'Rate Card'!$A$4:$A$8,0))),0))</f>
        <v/>
      </c>
      <c r="M12" s="18">
        <f>IF('Shipment Data'!A12="","",IF(D12="RTO",(J12+K12)*INDEX('Rate Card'!$H$4:$H$8,MATCH(B12,'Rate Card'!$A$4:$A$8,0)),0))</f>
        <v/>
      </c>
      <c r="N12" s="19">
        <f>IF('Shipment Data'!A12="","",J12+K12+L12+M12)</f>
        <v/>
      </c>
      <c r="O12" s="18">
        <f>IF('Shipment Data'!A12="","",'Shipment Data'!L12)</f>
        <v/>
      </c>
      <c r="P12" s="19">
        <f>IF('Shipment Data'!A12="","",O12-N12)</f>
        <v/>
      </c>
      <c r="Q12" s="6">
        <f>IF('Shipment Data'!A12="","",IF(P12&gt;1,"OVERCHARGED",IF(P12&lt;-1,"UNDERBILLED","MATCH")))</f>
        <v/>
      </c>
    </row>
    <row r="13">
      <c r="A13" s="15">
        <f>IF('Shipment Data'!A13="","",'Shipment Data'!A13)</f>
        <v/>
      </c>
      <c r="B13" s="15">
        <f>IF('Shipment Data'!A13="","",'Shipment Data'!C13)</f>
        <v/>
      </c>
      <c r="C13" s="15">
        <f>IF('Shipment Data'!A13="","",'Shipment Data'!D13)</f>
        <v/>
      </c>
      <c r="D13" s="15">
        <f>IF('Shipment Data'!A13="","",'Shipment Data'!J13)</f>
        <v/>
      </c>
      <c r="E13" s="16">
        <f>IF('Shipment Data'!A13="","",'Shipment Data'!F13)</f>
        <v/>
      </c>
      <c r="F13" s="17">
        <f>IF('Shipment Data'!A13="","",('Shipment Data'!G13*'Shipment Data'!H13*'Shipment Data'!I13)/5000)</f>
        <v/>
      </c>
      <c r="G13" s="17">
        <f>IF('Shipment Data'!A13="","",CEILING(MAX(E13,F13),0.5))</f>
        <v/>
      </c>
      <c r="H13" s="16">
        <f>IF('Shipment Data'!A13="","",'Shipment Data'!K13)</f>
        <v/>
      </c>
      <c r="I13" s="6">
        <f>IF('Shipment Data'!A13="","",IF(H13&gt;G13,"COURIER OVER-ROUNDED WEIGHT","OK"))</f>
        <v/>
      </c>
      <c r="J13" s="18">
        <f>IF('Shipment Data'!A13="","",INDEX('Rate Card'!$D$4:$D$8,MATCH(B13,'Rate Card'!$A$4:$A$8,0)))</f>
        <v/>
      </c>
      <c r="K13" s="18">
        <f>IF('Shipment Data'!A13="","",ROUND((G13-INDEX('Rate Card'!$C$4:$C$8,MATCH(B13,'Rate Card'!$A$4:$A$8,0)))/0.5,0)*INDEX('Rate Card'!$E$4:$E$8,MATCH(B13,'Rate Card'!$A$4:$A$8,0)))</f>
        <v/>
      </c>
      <c r="L13" s="18">
        <f>IF('Shipment Data'!A13="","",IF(C13="COD",MAX('Shipment Data'!E13*INDEX('Rate Card'!$F$4:$F$8,MATCH(B13,'Rate Card'!$A$4:$A$8,0)),INDEX('Rate Card'!$G$4:$G$8,MATCH(B13,'Rate Card'!$A$4:$A$8,0))),0))</f>
        <v/>
      </c>
      <c r="M13" s="18">
        <f>IF('Shipment Data'!A13="","",IF(D13="RTO",(J13+K13)*INDEX('Rate Card'!$H$4:$H$8,MATCH(B13,'Rate Card'!$A$4:$A$8,0)),0))</f>
        <v/>
      </c>
      <c r="N13" s="19">
        <f>IF('Shipment Data'!A13="","",J13+K13+L13+M13)</f>
        <v/>
      </c>
      <c r="O13" s="18">
        <f>IF('Shipment Data'!A13="","",'Shipment Data'!L13)</f>
        <v/>
      </c>
      <c r="P13" s="19">
        <f>IF('Shipment Data'!A13="","",O13-N13)</f>
        <v/>
      </c>
      <c r="Q13" s="6">
        <f>IF('Shipment Data'!A13="","",IF(P13&gt;1,"OVERCHARGED",IF(P13&lt;-1,"UNDERBILLED","MATCH")))</f>
        <v/>
      </c>
    </row>
    <row r="14">
      <c r="A14" s="15">
        <f>IF('Shipment Data'!A14="","",'Shipment Data'!A14)</f>
        <v/>
      </c>
      <c r="B14" s="15">
        <f>IF('Shipment Data'!A14="","",'Shipment Data'!C14)</f>
        <v/>
      </c>
      <c r="C14" s="15">
        <f>IF('Shipment Data'!A14="","",'Shipment Data'!D14)</f>
        <v/>
      </c>
      <c r="D14" s="15">
        <f>IF('Shipment Data'!A14="","",'Shipment Data'!J14)</f>
        <v/>
      </c>
      <c r="E14" s="16">
        <f>IF('Shipment Data'!A14="","",'Shipment Data'!F14)</f>
        <v/>
      </c>
      <c r="F14" s="17">
        <f>IF('Shipment Data'!A14="","",('Shipment Data'!G14*'Shipment Data'!H14*'Shipment Data'!I14)/5000)</f>
        <v/>
      </c>
      <c r="G14" s="17">
        <f>IF('Shipment Data'!A14="","",CEILING(MAX(E14,F14),0.5))</f>
        <v/>
      </c>
      <c r="H14" s="16">
        <f>IF('Shipment Data'!A14="","",'Shipment Data'!K14)</f>
        <v/>
      </c>
      <c r="I14" s="6">
        <f>IF('Shipment Data'!A14="","",IF(H14&gt;G14,"COURIER OVER-ROUNDED WEIGHT","OK"))</f>
        <v/>
      </c>
      <c r="J14" s="18">
        <f>IF('Shipment Data'!A14="","",INDEX('Rate Card'!$D$4:$D$8,MATCH(B14,'Rate Card'!$A$4:$A$8,0)))</f>
        <v/>
      </c>
      <c r="K14" s="18">
        <f>IF('Shipment Data'!A14="","",ROUND((G14-INDEX('Rate Card'!$C$4:$C$8,MATCH(B14,'Rate Card'!$A$4:$A$8,0)))/0.5,0)*INDEX('Rate Card'!$E$4:$E$8,MATCH(B14,'Rate Card'!$A$4:$A$8,0)))</f>
        <v/>
      </c>
      <c r="L14" s="18">
        <f>IF('Shipment Data'!A14="","",IF(C14="COD",MAX('Shipment Data'!E14*INDEX('Rate Card'!$F$4:$F$8,MATCH(B14,'Rate Card'!$A$4:$A$8,0)),INDEX('Rate Card'!$G$4:$G$8,MATCH(B14,'Rate Card'!$A$4:$A$8,0))),0))</f>
        <v/>
      </c>
      <c r="M14" s="18">
        <f>IF('Shipment Data'!A14="","",IF(D14="RTO",(J14+K14)*INDEX('Rate Card'!$H$4:$H$8,MATCH(B14,'Rate Card'!$A$4:$A$8,0)),0))</f>
        <v/>
      </c>
      <c r="N14" s="19">
        <f>IF('Shipment Data'!A14="","",J14+K14+L14+M14)</f>
        <v/>
      </c>
      <c r="O14" s="18">
        <f>IF('Shipment Data'!A14="","",'Shipment Data'!L14)</f>
        <v/>
      </c>
      <c r="P14" s="19">
        <f>IF('Shipment Data'!A14="","",O14-N14)</f>
        <v/>
      </c>
      <c r="Q14" s="6">
        <f>IF('Shipment Data'!A14="","",IF(P14&gt;1,"OVERCHARGED",IF(P14&lt;-1,"UNDERBILLED","MATCH")))</f>
        <v/>
      </c>
    </row>
    <row r="15">
      <c r="A15" s="15">
        <f>IF('Shipment Data'!A15="","",'Shipment Data'!A15)</f>
        <v/>
      </c>
      <c r="B15" s="15">
        <f>IF('Shipment Data'!A15="","",'Shipment Data'!C15)</f>
        <v/>
      </c>
      <c r="C15" s="15">
        <f>IF('Shipment Data'!A15="","",'Shipment Data'!D15)</f>
        <v/>
      </c>
      <c r="D15" s="15">
        <f>IF('Shipment Data'!A15="","",'Shipment Data'!J15)</f>
        <v/>
      </c>
      <c r="E15" s="16">
        <f>IF('Shipment Data'!A15="","",'Shipment Data'!F15)</f>
        <v/>
      </c>
      <c r="F15" s="17">
        <f>IF('Shipment Data'!A15="","",('Shipment Data'!G15*'Shipment Data'!H15*'Shipment Data'!I15)/5000)</f>
        <v/>
      </c>
      <c r="G15" s="17">
        <f>IF('Shipment Data'!A15="","",CEILING(MAX(E15,F15),0.5))</f>
        <v/>
      </c>
      <c r="H15" s="16">
        <f>IF('Shipment Data'!A15="","",'Shipment Data'!K15)</f>
        <v/>
      </c>
      <c r="I15" s="6">
        <f>IF('Shipment Data'!A15="","",IF(H15&gt;G15,"COURIER OVER-ROUNDED WEIGHT","OK"))</f>
        <v/>
      </c>
      <c r="J15" s="18">
        <f>IF('Shipment Data'!A15="","",INDEX('Rate Card'!$D$4:$D$8,MATCH(B15,'Rate Card'!$A$4:$A$8,0)))</f>
        <v/>
      </c>
      <c r="K15" s="18">
        <f>IF('Shipment Data'!A15="","",ROUND((G15-INDEX('Rate Card'!$C$4:$C$8,MATCH(B15,'Rate Card'!$A$4:$A$8,0)))/0.5,0)*INDEX('Rate Card'!$E$4:$E$8,MATCH(B15,'Rate Card'!$A$4:$A$8,0)))</f>
        <v/>
      </c>
      <c r="L15" s="18">
        <f>IF('Shipment Data'!A15="","",IF(C15="COD",MAX('Shipment Data'!E15*INDEX('Rate Card'!$F$4:$F$8,MATCH(B15,'Rate Card'!$A$4:$A$8,0)),INDEX('Rate Card'!$G$4:$G$8,MATCH(B15,'Rate Card'!$A$4:$A$8,0))),0))</f>
        <v/>
      </c>
      <c r="M15" s="18">
        <f>IF('Shipment Data'!A15="","",IF(D15="RTO",(J15+K15)*INDEX('Rate Card'!$H$4:$H$8,MATCH(B15,'Rate Card'!$A$4:$A$8,0)),0))</f>
        <v/>
      </c>
      <c r="N15" s="19">
        <f>IF('Shipment Data'!A15="","",J15+K15+L15+M15)</f>
        <v/>
      </c>
      <c r="O15" s="18">
        <f>IF('Shipment Data'!A15="","",'Shipment Data'!L15)</f>
        <v/>
      </c>
      <c r="P15" s="19">
        <f>IF('Shipment Data'!A15="","",O15-N15)</f>
        <v/>
      </c>
      <c r="Q15" s="6">
        <f>IF('Shipment Data'!A15="","",IF(P15&gt;1,"OVERCHARGED",IF(P15&lt;-1,"UNDERBILLED","MATCH")))</f>
        <v/>
      </c>
    </row>
    <row r="16">
      <c r="A16" s="15">
        <f>IF('Shipment Data'!A16="","",'Shipment Data'!A16)</f>
        <v/>
      </c>
      <c r="B16" s="15">
        <f>IF('Shipment Data'!A16="","",'Shipment Data'!C16)</f>
        <v/>
      </c>
      <c r="C16" s="15">
        <f>IF('Shipment Data'!A16="","",'Shipment Data'!D16)</f>
        <v/>
      </c>
      <c r="D16" s="15">
        <f>IF('Shipment Data'!A16="","",'Shipment Data'!J16)</f>
        <v/>
      </c>
      <c r="E16" s="16">
        <f>IF('Shipment Data'!A16="","",'Shipment Data'!F16)</f>
        <v/>
      </c>
      <c r="F16" s="17">
        <f>IF('Shipment Data'!A16="","",('Shipment Data'!G16*'Shipment Data'!H16*'Shipment Data'!I16)/5000)</f>
        <v/>
      </c>
      <c r="G16" s="17">
        <f>IF('Shipment Data'!A16="","",CEILING(MAX(E16,F16),0.5))</f>
        <v/>
      </c>
      <c r="H16" s="16">
        <f>IF('Shipment Data'!A16="","",'Shipment Data'!K16)</f>
        <v/>
      </c>
      <c r="I16" s="6">
        <f>IF('Shipment Data'!A16="","",IF(H16&gt;G16,"COURIER OVER-ROUNDED WEIGHT","OK"))</f>
        <v/>
      </c>
      <c r="J16" s="18">
        <f>IF('Shipment Data'!A16="","",INDEX('Rate Card'!$D$4:$D$8,MATCH(B16,'Rate Card'!$A$4:$A$8,0)))</f>
        <v/>
      </c>
      <c r="K16" s="18">
        <f>IF('Shipment Data'!A16="","",ROUND((G16-INDEX('Rate Card'!$C$4:$C$8,MATCH(B16,'Rate Card'!$A$4:$A$8,0)))/0.5,0)*INDEX('Rate Card'!$E$4:$E$8,MATCH(B16,'Rate Card'!$A$4:$A$8,0)))</f>
        <v/>
      </c>
      <c r="L16" s="18">
        <f>IF('Shipment Data'!A16="","",IF(C16="COD",MAX('Shipment Data'!E16*INDEX('Rate Card'!$F$4:$F$8,MATCH(B16,'Rate Card'!$A$4:$A$8,0)),INDEX('Rate Card'!$G$4:$G$8,MATCH(B16,'Rate Card'!$A$4:$A$8,0))),0))</f>
        <v/>
      </c>
      <c r="M16" s="18">
        <f>IF('Shipment Data'!A16="","",IF(D16="RTO",(J16+K16)*INDEX('Rate Card'!$H$4:$H$8,MATCH(B16,'Rate Card'!$A$4:$A$8,0)),0))</f>
        <v/>
      </c>
      <c r="N16" s="19">
        <f>IF('Shipment Data'!A16="","",J16+K16+L16+M16)</f>
        <v/>
      </c>
      <c r="O16" s="18">
        <f>IF('Shipment Data'!A16="","",'Shipment Data'!L16)</f>
        <v/>
      </c>
      <c r="P16" s="19">
        <f>IF('Shipment Data'!A16="","",O16-N16)</f>
        <v/>
      </c>
      <c r="Q16" s="6">
        <f>IF('Shipment Data'!A16="","",IF(P16&gt;1,"OVERCHARGED",IF(P16&lt;-1,"UNDERBILLED","MATCH")))</f>
        <v/>
      </c>
    </row>
    <row r="17">
      <c r="A17" s="15">
        <f>IF('Shipment Data'!A17="","",'Shipment Data'!A17)</f>
        <v/>
      </c>
      <c r="B17" s="15">
        <f>IF('Shipment Data'!A17="","",'Shipment Data'!C17)</f>
        <v/>
      </c>
      <c r="C17" s="15">
        <f>IF('Shipment Data'!A17="","",'Shipment Data'!D17)</f>
        <v/>
      </c>
      <c r="D17" s="15">
        <f>IF('Shipment Data'!A17="","",'Shipment Data'!J17)</f>
        <v/>
      </c>
      <c r="E17" s="16">
        <f>IF('Shipment Data'!A17="","",'Shipment Data'!F17)</f>
        <v/>
      </c>
      <c r="F17" s="17">
        <f>IF('Shipment Data'!A17="","",('Shipment Data'!G17*'Shipment Data'!H17*'Shipment Data'!I17)/5000)</f>
        <v/>
      </c>
      <c r="G17" s="17">
        <f>IF('Shipment Data'!A17="","",CEILING(MAX(E17,F17),0.5))</f>
        <v/>
      </c>
      <c r="H17" s="16">
        <f>IF('Shipment Data'!A17="","",'Shipment Data'!K17)</f>
        <v/>
      </c>
      <c r="I17" s="6">
        <f>IF('Shipment Data'!A17="","",IF(H17&gt;G17,"COURIER OVER-ROUNDED WEIGHT","OK"))</f>
        <v/>
      </c>
      <c r="J17" s="18">
        <f>IF('Shipment Data'!A17="","",INDEX('Rate Card'!$D$4:$D$8,MATCH(B17,'Rate Card'!$A$4:$A$8,0)))</f>
        <v/>
      </c>
      <c r="K17" s="18">
        <f>IF('Shipment Data'!A17="","",ROUND((G17-INDEX('Rate Card'!$C$4:$C$8,MATCH(B17,'Rate Card'!$A$4:$A$8,0)))/0.5,0)*INDEX('Rate Card'!$E$4:$E$8,MATCH(B17,'Rate Card'!$A$4:$A$8,0)))</f>
        <v/>
      </c>
      <c r="L17" s="18">
        <f>IF('Shipment Data'!A17="","",IF(C17="COD",MAX('Shipment Data'!E17*INDEX('Rate Card'!$F$4:$F$8,MATCH(B17,'Rate Card'!$A$4:$A$8,0)),INDEX('Rate Card'!$G$4:$G$8,MATCH(B17,'Rate Card'!$A$4:$A$8,0))),0))</f>
        <v/>
      </c>
      <c r="M17" s="18">
        <f>IF('Shipment Data'!A17="","",IF(D17="RTO",(J17+K17)*INDEX('Rate Card'!$H$4:$H$8,MATCH(B17,'Rate Card'!$A$4:$A$8,0)),0))</f>
        <v/>
      </c>
      <c r="N17" s="19">
        <f>IF('Shipment Data'!A17="","",J17+K17+L17+M17)</f>
        <v/>
      </c>
      <c r="O17" s="18">
        <f>IF('Shipment Data'!A17="","",'Shipment Data'!L17)</f>
        <v/>
      </c>
      <c r="P17" s="19">
        <f>IF('Shipment Data'!A17="","",O17-N17)</f>
        <v/>
      </c>
      <c r="Q17" s="6">
        <f>IF('Shipment Data'!A17="","",IF(P17&gt;1,"OVERCHARGED",IF(P17&lt;-1,"UNDERBILLED","MATCH")))</f>
        <v/>
      </c>
    </row>
    <row r="18">
      <c r="A18" s="15">
        <f>IF('Shipment Data'!A18="","",'Shipment Data'!A18)</f>
        <v/>
      </c>
      <c r="B18" s="15">
        <f>IF('Shipment Data'!A18="","",'Shipment Data'!C18)</f>
        <v/>
      </c>
      <c r="C18" s="15">
        <f>IF('Shipment Data'!A18="","",'Shipment Data'!D18)</f>
        <v/>
      </c>
      <c r="D18" s="15">
        <f>IF('Shipment Data'!A18="","",'Shipment Data'!J18)</f>
        <v/>
      </c>
      <c r="E18" s="16">
        <f>IF('Shipment Data'!A18="","",'Shipment Data'!F18)</f>
        <v/>
      </c>
      <c r="F18" s="17">
        <f>IF('Shipment Data'!A18="","",('Shipment Data'!G18*'Shipment Data'!H18*'Shipment Data'!I18)/5000)</f>
        <v/>
      </c>
      <c r="G18" s="17">
        <f>IF('Shipment Data'!A18="","",CEILING(MAX(E18,F18),0.5))</f>
        <v/>
      </c>
      <c r="H18" s="16">
        <f>IF('Shipment Data'!A18="","",'Shipment Data'!K18)</f>
        <v/>
      </c>
      <c r="I18" s="6">
        <f>IF('Shipment Data'!A18="","",IF(H18&gt;G18,"COURIER OVER-ROUNDED WEIGHT","OK"))</f>
        <v/>
      </c>
      <c r="J18" s="18">
        <f>IF('Shipment Data'!A18="","",INDEX('Rate Card'!$D$4:$D$8,MATCH(B18,'Rate Card'!$A$4:$A$8,0)))</f>
        <v/>
      </c>
      <c r="K18" s="18">
        <f>IF('Shipment Data'!A18="","",ROUND((G18-INDEX('Rate Card'!$C$4:$C$8,MATCH(B18,'Rate Card'!$A$4:$A$8,0)))/0.5,0)*INDEX('Rate Card'!$E$4:$E$8,MATCH(B18,'Rate Card'!$A$4:$A$8,0)))</f>
        <v/>
      </c>
      <c r="L18" s="18">
        <f>IF('Shipment Data'!A18="","",IF(C18="COD",MAX('Shipment Data'!E18*INDEX('Rate Card'!$F$4:$F$8,MATCH(B18,'Rate Card'!$A$4:$A$8,0)),INDEX('Rate Card'!$G$4:$G$8,MATCH(B18,'Rate Card'!$A$4:$A$8,0))),0))</f>
        <v/>
      </c>
      <c r="M18" s="18">
        <f>IF('Shipment Data'!A18="","",IF(D18="RTO",(J18+K18)*INDEX('Rate Card'!$H$4:$H$8,MATCH(B18,'Rate Card'!$A$4:$A$8,0)),0))</f>
        <v/>
      </c>
      <c r="N18" s="19">
        <f>IF('Shipment Data'!A18="","",J18+K18+L18+M18)</f>
        <v/>
      </c>
      <c r="O18" s="18">
        <f>IF('Shipment Data'!A18="","",'Shipment Data'!L18)</f>
        <v/>
      </c>
      <c r="P18" s="19">
        <f>IF('Shipment Data'!A18="","",O18-N18)</f>
        <v/>
      </c>
      <c r="Q18" s="6">
        <f>IF('Shipment Data'!A18="","",IF(P18&gt;1,"OVERCHARGED",IF(P18&lt;-1,"UNDERBILLED","MATCH")))</f>
        <v/>
      </c>
    </row>
    <row r="19">
      <c r="A19" s="15">
        <f>IF('Shipment Data'!A19="","",'Shipment Data'!A19)</f>
        <v/>
      </c>
      <c r="B19" s="15">
        <f>IF('Shipment Data'!A19="","",'Shipment Data'!C19)</f>
        <v/>
      </c>
      <c r="C19" s="15">
        <f>IF('Shipment Data'!A19="","",'Shipment Data'!D19)</f>
        <v/>
      </c>
      <c r="D19" s="15">
        <f>IF('Shipment Data'!A19="","",'Shipment Data'!J19)</f>
        <v/>
      </c>
      <c r="E19" s="16">
        <f>IF('Shipment Data'!A19="","",'Shipment Data'!F19)</f>
        <v/>
      </c>
      <c r="F19" s="17">
        <f>IF('Shipment Data'!A19="","",('Shipment Data'!G19*'Shipment Data'!H19*'Shipment Data'!I19)/5000)</f>
        <v/>
      </c>
      <c r="G19" s="17">
        <f>IF('Shipment Data'!A19="","",CEILING(MAX(E19,F19),0.5))</f>
        <v/>
      </c>
      <c r="H19" s="16">
        <f>IF('Shipment Data'!A19="","",'Shipment Data'!K19)</f>
        <v/>
      </c>
      <c r="I19" s="6">
        <f>IF('Shipment Data'!A19="","",IF(H19&gt;G19,"COURIER OVER-ROUNDED WEIGHT","OK"))</f>
        <v/>
      </c>
      <c r="J19" s="18">
        <f>IF('Shipment Data'!A19="","",INDEX('Rate Card'!$D$4:$D$8,MATCH(B19,'Rate Card'!$A$4:$A$8,0)))</f>
        <v/>
      </c>
      <c r="K19" s="18">
        <f>IF('Shipment Data'!A19="","",ROUND((G19-INDEX('Rate Card'!$C$4:$C$8,MATCH(B19,'Rate Card'!$A$4:$A$8,0)))/0.5,0)*INDEX('Rate Card'!$E$4:$E$8,MATCH(B19,'Rate Card'!$A$4:$A$8,0)))</f>
        <v/>
      </c>
      <c r="L19" s="18">
        <f>IF('Shipment Data'!A19="","",IF(C19="COD",MAX('Shipment Data'!E19*INDEX('Rate Card'!$F$4:$F$8,MATCH(B19,'Rate Card'!$A$4:$A$8,0)),INDEX('Rate Card'!$G$4:$G$8,MATCH(B19,'Rate Card'!$A$4:$A$8,0))),0))</f>
        <v/>
      </c>
      <c r="M19" s="18">
        <f>IF('Shipment Data'!A19="","",IF(D19="RTO",(J19+K19)*INDEX('Rate Card'!$H$4:$H$8,MATCH(B19,'Rate Card'!$A$4:$A$8,0)),0))</f>
        <v/>
      </c>
      <c r="N19" s="19">
        <f>IF('Shipment Data'!A19="","",J19+K19+L19+M19)</f>
        <v/>
      </c>
      <c r="O19" s="18">
        <f>IF('Shipment Data'!A19="","",'Shipment Data'!L19)</f>
        <v/>
      </c>
      <c r="P19" s="19">
        <f>IF('Shipment Data'!A19="","",O19-N19)</f>
        <v/>
      </c>
      <c r="Q19" s="6">
        <f>IF('Shipment Data'!A19="","",IF(P19&gt;1,"OVERCHARGED",IF(P19&lt;-1,"UNDERBILLED","MATCH")))</f>
        <v/>
      </c>
    </row>
    <row r="20">
      <c r="A20" s="15">
        <f>IF('Shipment Data'!A20="","",'Shipment Data'!A20)</f>
        <v/>
      </c>
      <c r="B20" s="15">
        <f>IF('Shipment Data'!A20="","",'Shipment Data'!C20)</f>
        <v/>
      </c>
      <c r="C20" s="15">
        <f>IF('Shipment Data'!A20="","",'Shipment Data'!D20)</f>
        <v/>
      </c>
      <c r="D20" s="15">
        <f>IF('Shipment Data'!A20="","",'Shipment Data'!J20)</f>
        <v/>
      </c>
      <c r="E20" s="16">
        <f>IF('Shipment Data'!A20="","",'Shipment Data'!F20)</f>
        <v/>
      </c>
      <c r="F20" s="17">
        <f>IF('Shipment Data'!A20="","",('Shipment Data'!G20*'Shipment Data'!H20*'Shipment Data'!I20)/5000)</f>
        <v/>
      </c>
      <c r="G20" s="17">
        <f>IF('Shipment Data'!A20="","",CEILING(MAX(E20,F20),0.5))</f>
        <v/>
      </c>
      <c r="H20" s="16">
        <f>IF('Shipment Data'!A20="","",'Shipment Data'!K20)</f>
        <v/>
      </c>
      <c r="I20" s="6">
        <f>IF('Shipment Data'!A20="","",IF(H20&gt;G20,"COURIER OVER-ROUNDED WEIGHT","OK"))</f>
        <v/>
      </c>
      <c r="J20" s="18">
        <f>IF('Shipment Data'!A20="","",INDEX('Rate Card'!$D$4:$D$8,MATCH(B20,'Rate Card'!$A$4:$A$8,0)))</f>
        <v/>
      </c>
      <c r="K20" s="18">
        <f>IF('Shipment Data'!A20="","",ROUND((G20-INDEX('Rate Card'!$C$4:$C$8,MATCH(B20,'Rate Card'!$A$4:$A$8,0)))/0.5,0)*INDEX('Rate Card'!$E$4:$E$8,MATCH(B20,'Rate Card'!$A$4:$A$8,0)))</f>
        <v/>
      </c>
      <c r="L20" s="18">
        <f>IF('Shipment Data'!A20="","",IF(C20="COD",MAX('Shipment Data'!E20*INDEX('Rate Card'!$F$4:$F$8,MATCH(B20,'Rate Card'!$A$4:$A$8,0)),INDEX('Rate Card'!$G$4:$G$8,MATCH(B20,'Rate Card'!$A$4:$A$8,0))),0))</f>
        <v/>
      </c>
      <c r="M20" s="18">
        <f>IF('Shipment Data'!A20="","",IF(D20="RTO",(J20+K20)*INDEX('Rate Card'!$H$4:$H$8,MATCH(B20,'Rate Card'!$A$4:$A$8,0)),0))</f>
        <v/>
      </c>
      <c r="N20" s="19">
        <f>IF('Shipment Data'!A20="","",J20+K20+L20+M20)</f>
        <v/>
      </c>
      <c r="O20" s="18">
        <f>IF('Shipment Data'!A20="","",'Shipment Data'!L20)</f>
        <v/>
      </c>
      <c r="P20" s="19">
        <f>IF('Shipment Data'!A20="","",O20-N20)</f>
        <v/>
      </c>
      <c r="Q20" s="6">
        <f>IF('Shipment Data'!A20="","",IF(P20&gt;1,"OVERCHARGED",IF(P20&lt;-1,"UNDERBILLED","MATCH")))</f>
        <v/>
      </c>
    </row>
    <row r="21">
      <c r="A21" s="15">
        <f>IF('Shipment Data'!A21="","",'Shipment Data'!A21)</f>
        <v/>
      </c>
      <c r="B21" s="15">
        <f>IF('Shipment Data'!A21="","",'Shipment Data'!C21)</f>
        <v/>
      </c>
      <c r="C21" s="15">
        <f>IF('Shipment Data'!A21="","",'Shipment Data'!D21)</f>
        <v/>
      </c>
      <c r="D21" s="15">
        <f>IF('Shipment Data'!A21="","",'Shipment Data'!J21)</f>
        <v/>
      </c>
      <c r="E21" s="16">
        <f>IF('Shipment Data'!A21="","",'Shipment Data'!F21)</f>
        <v/>
      </c>
      <c r="F21" s="17">
        <f>IF('Shipment Data'!A21="","",('Shipment Data'!G21*'Shipment Data'!H21*'Shipment Data'!I21)/5000)</f>
        <v/>
      </c>
      <c r="G21" s="17">
        <f>IF('Shipment Data'!A21="","",CEILING(MAX(E21,F21),0.5))</f>
        <v/>
      </c>
      <c r="H21" s="16">
        <f>IF('Shipment Data'!A21="","",'Shipment Data'!K21)</f>
        <v/>
      </c>
      <c r="I21" s="6">
        <f>IF('Shipment Data'!A21="","",IF(H21&gt;G21,"COURIER OVER-ROUNDED WEIGHT","OK"))</f>
        <v/>
      </c>
      <c r="J21" s="18">
        <f>IF('Shipment Data'!A21="","",INDEX('Rate Card'!$D$4:$D$8,MATCH(B21,'Rate Card'!$A$4:$A$8,0)))</f>
        <v/>
      </c>
      <c r="K21" s="18">
        <f>IF('Shipment Data'!A21="","",ROUND((G21-INDEX('Rate Card'!$C$4:$C$8,MATCH(B21,'Rate Card'!$A$4:$A$8,0)))/0.5,0)*INDEX('Rate Card'!$E$4:$E$8,MATCH(B21,'Rate Card'!$A$4:$A$8,0)))</f>
        <v/>
      </c>
      <c r="L21" s="18">
        <f>IF('Shipment Data'!A21="","",IF(C21="COD",MAX('Shipment Data'!E21*INDEX('Rate Card'!$F$4:$F$8,MATCH(B21,'Rate Card'!$A$4:$A$8,0)),INDEX('Rate Card'!$G$4:$G$8,MATCH(B21,'Rate Card'!$A$4:$A$8,0))),0))</f>
        <v/>
      </c>
      <c r="M21" s="18">
        <f>IF('Shipment Data'!A21="","",IF(D21="RTO",(J21+K21)*INDEX('Rate Card'!$H$4:$H$8,MATCH(B21,'Rate Card'!$A$4:$A$8,0)),0))</f>
        <v/>
      </c>
      <c r="N21" s="19">
        <f>IF('Shipment Data'!A21="","",J21+K21+L21+M21)</f>
        <v/>
      </c>
      <c r="O21" s="18">
        <f>IF('Shipment Data'!A21="","",'Shipment Data'!L21)</f>
        <v/>
      </c>
      <c r="P21" s="19">
        <f>IF('Shipment Data'!A21="","",O21-N21)</f>
        <v/>
      </c>
      <c r="Q21" s="6">
        <f>IF('Shipment Data'!A21="","",IF(P21&gt;1,"OVERCHARGED",IF(P21&lt;-1,"UNDERBILLED","MATCH")))</f>
        <v/>
      </c>
    </row>
    <row r="22">
      <c r="A22" s="15">
        <f>IF('Shipment Data'!A22="","",'Shipment Data'!A22)</f>
        <v/>
      </c>
      <c r="B22" s="15">
        <f>IF('Shipment Data'!A22="","",'Shipment Data'!C22)</f>
        <v/>
      </c>
      <c r="C22" s="15">
        <f>IF('Shipment Data'!A22="","",'Shipment Data'!D22)</f>
        <v/>
      </c>
      <c r="D22" s="15">
        <f>IF('Shipment Data'!A22="","",'Shipment Data'!J22)</f>
        <v/>
      </c>
      <c r="E22" s="16">
        <f>IF('Shipment Data'!A22="","",'Shipment Data'!F22)</f>
        <v/>
      </c>
      <c r="F22" s="17">
        <f>IF('Shipment Data'!A22="","",('Shipment Data'!G22*'Shipment Data'!H22*'Shipment Data'!I22)/5000)</f>
        <v/>
      </c>
      <c r="G22" s="17">
        <f>IF('Shipment Data'!A22="","",CEILING(MAX(E22,F22),0.5))</f>
        <v/>
      </c>
      <c r="H22" s="16">
        <f>IF('Shipment Data'!A22="","",'Shipment Data'!K22)</f>
        <v/>
      </c>
      <c r="I22" s="6">
        <f>IF('Shipment Data'!A22="","",IF(H22&gt;G22,"COURIER OVER-ROUNDED WEIGHT","OK"))</f>
        <v/>
      </c>
      <c r="J22" s="18">
        <f>IF('Shipment Data'!A22="","",INDEX('Rate Card'!$D$4:$D$8,MATCH(B22,'Rate Card'!$A$4:$A$8,0)))</f>
        <v/>
      </c>
      <c r="K22" s="18">
        <f>IF('Shipment Data'!A22="","",ROUND((G22-INDEX('Rate Card'!$C$4:$C$8,MATCH(B22,'Rate Card'!$A$4:$A$8,0)))/0.5,0)*INDEX('Rate Card'!$E$4:$E$8,MATCH(B22,'Rate Card'!$A$4:$A$8,0)))</f>
        <v/>
      </c>
      <c r="L22" s="18">
        <f>IF('Shipment Data'!A22="","",IF(C22="COD",MAX('Shipment Data'!E22*INDEX('Rate Card'!$F$4:$F$8,MATCH(B22,'Rate Card'!$A$4:$A$8,0)),INDEX('Rate Card'!$G$4:$G$8,MATCH(B22,'Rate Card'!$A$4:$A$8,0))),0))</f>
        <v/>
      </c>
      <c r="M22" s="18">
        <f>IF('Shipment Data'!A22="","",IF(D22="RTO",(J22+K22)*INDEX('Rate Card'!$H$4:$H$8,MATCH(B22,'Rate Card'!$A$4:$A$8,0)),0))</f>
        <v/>
      </c>
      <c r="N22" s="19">
        <f>IF('Shipment Data'!A22="","",J22+K22+L22+M22)</f>
        <v/>
      </c>
      <c r="O22" s="18">
        <f>IF('Shipment Data'!A22="","",'Shipment Data'!L22)</f>
        <v/>
      </c>
      <c r="P22" s="19">
        <f>IF('Shipment Data'!A22="","",O22-N22)</f>
        <v/>
      </c>
      <c r="Q22" s="6">
        <f>IF('Shipment Data'!A22="","",IF(P22&gt;1,"OVERCHARGED",IF(P22&lt;-1,"UNDERBILLED","MATCH")))</f>
        <v/>
      </c>
    </row>
    <row r="23">
      <c r="A23" s="15">
        <f>IF('Shipment Data'!A23="","",'Shipment Data'!A23)</f>
        <v/>
      </c>
      <c r="B23" s="15">
        <f>IF('Shipment Data'!A23="","",'Shipment Data'!C23)</f>
        <v/>
      </c>
      <c r="C23" s="15">
        <f>IF('Shipment Data'!A23="","",'Shipment Data'!D23)</f>
        <v/>
      </c>
      <c r="D23" s="15">
        <f>IF('Shipment Data'!A23="","",'Shipment Data'!J23)</f>
        <v/>
      </c>
      <c r="E23" s="16">
        <f>IF('Shipment Data'!A23="","",'Shipment Data'!F23)</f>
        <v/>
      </c>
      <c r="F23" s="17">
        <f>IF('Shipment Data'!A23="","",('Shipment Data'!G23*'Shipment Data'!H23*'Shipment Data'!I23)/5000)</f>
        <v/>
      </c>
      <c r="G23" s="17">
        <f>IF('Shipment Data'!A23="","",CEILING(MAX(E23,F23),0.5))</f>
        <v/>
      </c>
      <c r="H23" s="16">
        <f>IF('Shipment Data'!A23="","",'Shipment Data'!K23)</f>
        <v/>
      </c>
      <c r="I23" s="6">
        <f>IF('Shipment Data'!A23="","",IF(H23&gt;G23,"COURIER OVER-ROUNDED WEIGHT","OK"))</f>
        <v/>
      </c>
      <c r="J23" s="18">
        <f>IF('Shipment Data'!A23="","",INDEX('Rate Card'!$D$4:$D$8,MATCH(B23,'Rate Card'!$A$4:$A$8,0)))</f>
        <v/>
      </c>
      <c r="K23" s="18">
        <f>IF('Shipment Data'!A23="","",ROUND((G23-INDEX('Rate Card'!$C$4:$C$8,MATCH(B23,'Rate Card'!$A$4:$A$8,0)))/0.5,0)*INDEX('Rate Card'!$E$4:$E$8,MATCH(B23,'Rate Card'!$A$4:$A$8,0)))</f>
        <v/>
      </c>
      <c r="L23" s="18">
        <f>IF('Shipment Data'!A23="","",IF(C23="COD",MAX('Shipment Data'!E23*INDEX('Rate Card'!$F$4:$F$8,MATCH(B23,'Rate Card'!$A$4:$A$8,0)),INDEX('Rate Card'!$G$4:$G$8,MATCH(B23,'Rate Card'!$A$4:$A$8,0))),0))</f>
        <v/>
      </c>
      <c r="M23" s="18">
        <f>IF('Shipment Data'!A23="","",IF(D23="RTO",(J23+K23)*INDEX('Rate Card'!$H$4:$H$8,MATCH(B23,'Rate Card'!$A$4:$A$8,0)),0))</f>
        <v/>
      </c>
      <c r="N23" s="19">
        <f>IF('Shipment Data'!A23="","",J23+K23+L23+M23)</f>
        <v/>
      </c>
      <c r="O23" s="18">
        <f>IF('Shipment Data'!A23="","",'Shipment Data'!L23)</f>
        <v/>
      </c>
      <c r="P23" s="19">
        <f>IF('Shipment Data'!A23="","",O23-N23)</f>
        <v/>
      </c>
      <c r="Q23" s="6">
        <f>IF('Shipment Data'!A23="","",IF(P23&gt;1,"OVERCHARGED",IF(P23&lt;-1,"UNDERBILLED","MATCH")))</f>
        <v/>
      </c>
    </row>
    <row r="24">
      <c r="A24" s="15">
        <f>IF('Shipment Data'!A24="","",'Shipment Data'!A24)</f>
        <v/>
      </c>
      <c r="B24" s="15">
        <f>IF('Shipment Data'!A24="","",'Shipment Data'!C24)</f>
        <v/>
      </c>
      <c r="C24" s="15">
        <f>IF('Shipment Data'!A24="","",'Shipment Data'!D24)</f>
        <v/>
      </c>
      <c r="D24" s="15">
        <f>IF('Shipment Data'!A24="","",'Shipment Data'!J24)</f>
        <v/>
      </c>
      <c r="E24" s="16">
        <f>IF('Shipment Data'!A24="","",'Shipment Data'!F24)</f>
        <v/>
      </c>
      <c r="F24" s="17">
        <f>IF('Shipment Data'!A24="","",('Shipment Data'!G24*'Shipment Data'!H24*'Shipment Data'!I24)/5000)</f>
        <v/>
      </c>
      <c r="G24" s="17">
        <f>IF('Shipment Data'!A24="","",CEILING(MAX(E24,F24),0.5))</f>
        <v/>
      </c>
      <c r="H24" s="16">
        <f>IF('Shipment Data'!A24="","",'Shipment Data'!K24)</f>
        <v/>
      </c>
      <c r="I24" s="6">
        <f>IF('Shipment Data'!A24="","",IF(H24&gt;G24,"COURIER OVER-ROUNDED WEIGHT","OK"))</f>
        <v/>
      </c>
      <c r="J24" s="18">
        <f>IF('Shipment Data'!A24="","",INDEX('Rate Card'!$D$4:$D$8,MATCH(B24,'Rate Card'!$A$4:$A$8,0)))</f>
        <v/>
      </c>
      <c r="K24" s="18">
        <f>IF('Shipment Data'!A24="","",ROUND((G24-INDEX('Rate Card'!$C$4:$C$8,MATCH(B24,'Rate Card'!$A$4:$A$8,0)))/0.5,0)*INDEX('Rate Card'!$E$4:$E$8,MATCH(B24,'Rate Card'!$A$4:$A$8,0)))</f>
        <v/>
      </c>
      <c r="L24" s="18">
        <f>IF('Shipment Data'!A24="","",IF(C24="COD",MAX('Shipment Data'!E24*INDEX('Rate Card'!$F$4:$F$8,MATCH(B24,'Rate Card'!$A$4:$A$8,0)),INDEX('Rate Card'!$G$4:$G$8,MATCH(B24,'Rate Card'!$A$4:$A$8,0))),0))</f>
        <v/>
      </c>
      <c r="M24" s="18">
        <f>IF('Shipment Data'!A24="","",IF(D24="RTO",(J24+K24)*INDEX('Rate Card'!$H$4:$H$8,MATCH(B24,'Rate Card'!$A$4:$A$8,0)),0))</f>
        <v/>
      </c>
      <c r="N24" s="19">
        <f>IF('Shipment Data'!A24="","",J24+K24+L24+M24)</f>
        <v/>
      </c>
      <c r="O24" s="18">
        <f>IF('Shipment Data'!A24="","",'Shipment Data'!L24)</f>
        <v/>
      </c>
      <c r="P24" s="19">
        <f>IF('Shipment Data'!A24="","",O24-N24)</f>
        <v/>
      </c>
      <c r="Q24" s="6">
        <f>IF('Shipment Data'!A24="","",IF(P24&gt;1,"OVERCHARGED",IF(P24&lt;-1,"UNDERBILLED","MATCH")))</f>
        <v/>
      </c>
    </row>
    <row r="25">
      <c r="A25" s="15">
        <f>IF('Shipment Data'!A25="","",'Shipment Data'!A25)</f>
        <v/>
      </c>
      <c r="B25" s="15">
        <f>IF('Shipment Data'!A25="","",'Shipment Data'!C25)</f>
        <v/>
      </c>
      <c r="C25" s="15">
        <f>IF('Shipment Data'!A25="","",'Shipment Data'!D25)</f>
        <v/>
      </c>
      <c r="D25" s="15">
        <f>IF('Shipment Data'!A25="","",'Shipment Data'!J25)</f>
        <v/>
      </c>
      <c r="E25" s="16">
        <f>IF('Shipment Data'!A25="","",'Shipment Data'!F25)</f>
        <v/>
      </c>
      <c r="F25" s="17">
        <f>IF('Shipment Data'!A25="","",('Shipment Data'!G25*'Shipment Data'!H25*'Shipment Data'!I25)/5000)</f>
        <v/>
      </c>
      <c r="G25" s="17">
        <f>IF('Shipment Data'!A25="","",CEILING(MAX(E25,F25),0.5))</f>
        <v/>
      </c>
      <c r="H25" s="16">
        <f>IF('Shipment Data'!A25="","",'Shipment Data'!K25)</f>
        <v/>
      </c>
      <c r="I25" s="6">
        <f>IF('Shipment Data'!A25="","",IF(H25&gt;G25,"COURIER OVER-ROUNDED WEIGHT","OK"))</f>
        <v/>
      </c>
      <c r="J25" s="18">
        <f>IF('Shipment Data'!A25="","",INDEX('Rate Card'!$D$4:$D$8,MATCH(B25,'Rate Card'!$A$4:$A$8,0)))</f>
        <v/>
      </c>
      <c r="K25" s="18">
        <f>IF('Shipment Data'!A25="","",ROUND((G25-INDEX('Rate Card'!$C$4:$C$8,MATCH(B25,'Rate Card'!$A$4:$A$8,0)))/0.5,0)*INDEX('Rate Card'!$E$4:$E$8,MATCH(B25,'Rate Card'!$A$4:$A$8,0)))</f>
        <v/>
      </c>
      <c r="L25" s="18">
        <f>IF('Shipment Data'!A25="","",IF(C25="COD",MAX('Shipment Data'!E25*INDEX('Rate Card'!$F$4:$F$8,MATCH(B25,'Rate Card'!$A$4:$A$8,0)),INDEX('Rate Card'!$G$4:$G$8,MATCH(B25,'Rate Card'!$A$4:$A$8,0))),0))</f>
        <v/>
      </c>
      <c r="M25" s="18">
        <f>IF('Shipment Data'!A25="","",IF(D25="RTO",(J25+K25)*INDEX('Rate Card'!$H$4:$H$8,MATCH(B25,'Rate Card'!$A$4:$A$8,0)),0))</f>
        <v/>
      </c>
      <c r="N25" s="19">
        <f>IF('Shipment Data'!A25="","",J25+K25+L25+M25)</f>
        <v/>
      </c>
      <c r="O25" s="18">
        <f>IF('Shipment Data'!A25="","",'Shipment Data'!L25)</f>
        <v/>
      </c>
      <c r="P25" s="19">
        <f>IF('Shipment Data'!A25="","",O25-N25)</f>
        <v/>
      </c>
      <c r="Q25" s="6">
        <f>IF('Shipment Data'!A25="","",IF(P25&gt;1,"OVERCHARGED",IF(P25&lt;-1,"UNDERBILLED","MATCH")))</f>
        <v/>
      </c>
    </row>
    <row r="26">
      <c r="A26" s="15">
        <f>IF('Shipment Data'!A26="","",'Shipment Data'!A26)</f>
        <v/>
      </c>
      <c r="B26" s="15">
        <f>IF('Shipment Data'!A26="","",'Shipment Data'!C26)</f>
        <v/>
      </c>
      <c r="C26" s="15">
        <f>IF('Shipment Data'!A26="","",'Shipment Data'!D26)</f>
        <v/>
      </c>
      <c r="D26" s="15">
        <f>IF('Shipment Data'!A26="","",'Shipment Data'!J26)</f>
        <v/>
      </c>
      <c r="E26" s="16">
        <f>IF('Shipment Data'!A26="","",'Shipment Data'!F26)</f>
        <v/>
      </c>
      <c r="F26" s="17">
        <f>IF('Shipment Data'!A26="","",('Shipment Data'!G26*'Shipment Data'!H26*'Shipment Data'!I26)/5000)</f>
        <v/>
      </c>
      <c r="G26" s="17">
        <f>IF('Shipment Data'!A26="","",CEILING(MAX(E26,F26),0.5))</f>
        <v/>
      </c>
      <c r="H26" s="16">
        <f>IF('Shipment Data'!A26="","",'Shipment Data'!K26)</f>
        <v/>
      </c>
      <c r="I26" s="6">
        <f>IF('Shipment Data'!A26="","",IF(H26&gt;G26,"COURIER OVER-ROUNDED WEIGHT","OK"))</f>
        <v/>
      </c>
      <c r="J26" s="18">
        <f>IF('Shipment Data'!A26="","",INDEX('Rate Card'!$D$4:$D$8,MATCH(B26,'Rate Card'!$A$4:$A$8,0)))</f>
        <v/>
      </c>
      <c r="K26" s="18">
        <f>IF('Shipment Data'!A26="","",ROUND((G26-INDEX('Rate Card'!$C$4:$C$8,MATCH(B26,'Rate Card'!$A$4:$A$8,0)))/0.5,0)*INDEX('Rate Card'!$E$4:$E$8,MATCH(B26,'Rate Card'!$A$4:$A$8,0)))</f>
        <v/>
      </c>
      <c r="L26" s="18">
        <f>IF('Shipment Data'!A26="","",IF(C26="COD",MAX('Shipment Data'!E26*INDEX('Rate Card'!$F$4:$F$8,MATCH(B26,'Rate Card'!$A$4:$A$8,0)),INDEX('Rate Card'!$G$4:$G$8,MATCH(B26,'Rate Card'!$A$4:$A$8,0))),0))</f>
        <v/>
      </c>
      <c r="M26" s="18">
        <f>IF('Shipment Data'!A26="","",IF(D26="RTO",(J26+K26)*INDEX('Rate Card'!$H$4:$H$8,MATCH(B26,'Rate Card'!$A$4:$A$8,0)),0))</f>
        <v/>
      </c>
      <c r="N26" s="19">
        <f>IF('Shipment Data'!A26="","",J26+K26+L26+M26)</f>
        <v/>
      </c>
      <c r="O26" s="18">
        <f>IF('Shipment Data'!A26="","",'Shipment Data'!L26)</f>
        <v/>
      </c>
      <c r="P26" s="19">
        <f>IF('Shipment Data'!A26="","",O26-N26)</f>
        <v/>
      </c>
      <c r="Q26" s="6">
        <f>IF('Shipment Data'!A26="","",IF(P26&gt;1,"OVERCHARGED",IF(P26&lt;-1,"UNDERBILLED","MATCH")))</f>
        <v/>
      </c>
    </row>
    <row r="27">
      <c r="A27" s="15">
        <f>IF('Shipment Data'!A27="","",'Shipment Data'!A27)</f>
        <v/>
      </c>
      <c r="B27" s="15">
        <f>IF('Shipment Data'!A27="","",'Shipment Data'!C27)</f>
        <v/>
      </c>
      <c r="C27" s="15">
        <f>IF('Shipment Data'!A27="","",'Shipment Data'!D27)</f>
        <v/>
      </c>
      <c r="D27" s="15">
        <f>IF('Shipment Data'!A27="","",'Shipment Data'!J27)</f>
        <v/>
      </c>
      <c r="E27" s="16">
        <f>IF('Shipment Data'!A27="","",'Shipment Data'!F27)</f>
        <v/>
      </c>
      <c r="F27" s="17">
        <f>IF('Shipment Data'!A27="","",('Shipment Data'!G27*'Shipment Data'!H27*'Shipment Data'!I27)/5000)</f>
        <v/>
      </c>
      <c r="G27" s="17">
        <f>IF('Shipment Data'!A27="","",CEILING(MAX(E27,F27),0.5))</f>
        <v/>
      </c>
      <c r="H27" s="16">
        <f>IF('Shipment Data'!A27="","",'Shipment Data'!K27)</f>
        <v/>
      </c>
      <c r="I27" s="6">
        <f>IF('Shipment Data'!A27="","",IF(H27&gt;G27,"COURIER OVER-ROUNDED WEIGHT","OK"))</f>
        <v/>
      </c>
      <c r="J27" s="18">
        <f>IF('Shipment Data'!A27="","",INDEX('Rate Card'!$D$4:$D$8,MATCH(B27,'Rate Card'!$A$4:$A$8,0)))</f>
        <v/>
      </c>
      <c r="K27" s="18">
        <f>IF('Shipment Data'!A27="","",ROUND((G27-INDEX('Rate Card'!$C$4:$C$8,MATCH(B27,'Rate Card'!$A$4:$A$8,0)))/0.5,0)*INDEX('Rate Card'!$E$4:$E$8,MATCH(B27,'Rate Card'!$A$4:$A$8,0)))</f>
        <v/>
      </c>
      <c r="L27" s="18">
        <f>IF('Shipment Data'!A27="","",IF(C27="COD",MAX('Shipment Data'!E27*INDEX('Rate Card'!$F$4:$F$8,MATCH(B27,'Rate Card'!$A$4:$A$8,0)),INDEX('Rate Card'!$G$4:$G$8,MATCH(B27,'Rate Card'!$A$4:$A$8,0))),0))</f>
        <v/>
      </c>
      <c r="M27" s="18">
        <f>IF('Shipment Data'!A27="","",IF(D27="RTO",(J27+K27)*INDEX('Rate Card'!$H$4:$H$8,MATCH(B27,'Rate Card'!$A$4:$A$8,0)),0))</f>
        <v/>
      </c>
      <c r="N27" s="19">
        <f>IF('Shipment Data'!A27="","",J27+K27+L27+M27)</f>
        <v/>
      </c>
      <c r="O27" s="18">
        <f>IF('Shipment Data'!A27="","",'Shipment Data'!L27)</f>
        <v/>
      </c>
      <c r="P27" s="19">
        <f>IF('Shipment Data'!A27="","",O27-N27)</f>
        <v/>
      </c>
      <c r="Q27" s="6">
        <f>IF('Shipment Data'!A27="","",IF(P27&gt;1,"OVERCHARGED",IF(P27&lt;-1,"UNDERBILLED","MATCH")))</f>
        <v/>
      </c>
    </row>
    <row r="28">
      <c r="A28" s="15">
        <f>IF('Shipment Data'!A28="","",'Shipment Data'!A28)</f>
        <v/>
      </c>
      <c r="B28" s="15">
        <f>IF('Shipment Data'!A28="","",'Shipment Data'!C28)</f>
        <v/>
      </c>
      <c r="C28" s="15">
        <f>IF('Shipment Data'!A28="","",'Shipment Data'!D28)</f>
        <v/>
      </c>
      <c r="D28" s="15">
        <f>IF('Shipment Data'!A28="","",'Shipment Data'!J28)</f>
        <v/>
      </c>
      <c r="E28" s="16">
        <f>IF('Shipment Data'!A28="","",'Shipment Data'!F28)</f>
        <v/>
      </c>
      <c r="F28" s="17">
        <f>IF('Shipment Data'!A28="","",('Shipment Data'!G28*'Shipment Data'!H28*'Shipment Data'!I28)/5000)</f>
        <v/>
      </c>
      <c r="G28" s="17">
        <f>IF('Shipment Data'!A28="","",CEILING(MAX(E28,F28),0.5))</f>
        <v/>
      </c>
      <c r="H28" s="16">
        <f>IF('Shipment Data'!A28="","",'Shipment Data'!K28)</f>
        <v/>
      </c>
      <c r="I28" s="6">
        <f>IF('Shipment Data'!A28="","",IF(H28&gt;G28,"COURIER OVER-ROUNDED WEIGHT","OK"))</f>
        <v/>
      </c>
      <c r="J28" s="18">
        <f>IF('Shipment Data'!A28="","",INDEX('Rate Card'!$D$4:$D$8,MATCH(B28,'Rate Card'!$A$4:$A$8,0)))</f>
        <v/>
      </c>
      <c r="K28" s="18">
        <f>IF('Shipment Data'!A28="","",ROUND((G28-INDEX('Rate Card'!$C$4:$C$8,MATCH(B28,'Rate Card'!$A$4:$A$8,0)))/0.5,0)*INDEX('Rate Card'!$E$4:$E$8,MATCH(B28,'Rate Card'!$A$4:$A$8,0)))</f>
        <v/>
      </c>
      <c r="L28" s="18">
        <f>IF('Shipment Data'!A28="","",IF(C28="COD",MAX('Shipment Data'!E28*INDEX('Rate Card'!$F$4:$F$8,MATCH(B28,'Rate Card'!$A$4:$A$8,0)),INDEX('Rate Card'!$G$4:$G$8,MATCH(B28,'Rate Card'!$A$4:$A$8,0))),0))</f>
        <v/>
      </c>
      <c r="M28" s="18">
        <f>IF('Shipment Data'!A28="","",IF(D28="RTO",(J28+K28)*INDEX('Rate Card'!$H$4:$H$8,MATCH(B28,'Rate Card'!$A$4:$A$8,0)),0))</f>
        <v/>
      </c>
      <c r="N28" s="19">
        <f>IF('Shipment Data'!A28="","",J28+K28+L28+M28)</f>
        <v/>
      </c>
      <c r="O28" s="18">
        <f>IF('Shipment Data'!A28="","",'Shipment Data'!L28)</f>
        <v/>
      </c>
      <c r="P28" s="19">
        <f>IF('Shipment Data'!A28="","",O28-N28)</f>
        <v/>
      </c>
      <c r="Q28" s="6">
        <f>IF('Shipment Data'!A28="","",IF(P28&gt;1,"OVERCHARGED",IF(P28&lt;-1,"UNDERBILLED","MATCH")))</f>
        <v/>
      </c>
    </row>
    <row r="29">
      <c r="A29" s="15">
        <f>IF('Shipment Data'!A29="","",'Shipment Data'!A29)</f>
        <v/>
      </c>
      <c r="B29" s="15">
        <f>IF('Shipment Data'!A29="","",'Shipment Data'!C29)</f>
        <v/>
      </c>
      <c r="C29" s="15">
        <f>IF('Shipment Data'!A29="","",'Shipment Data'!D29)</f>
        <v/>
      </c>
      <c r="D29" s="15">
        <f>IF('Shipment Data'!A29="","",'Shipment Data'!J29)</f>
        <v/>
      </c>
      <c r="E29" s="16">
        <f>IF('Shipment Data'!A29="","",'Shipment Data'!F29)</f>
        <v/>
      </c>
      <c r="F29" s="17">
        <f>IF('Shipment Data'!A29="","",('Shipment Data'!G29*'Shipment Data'!H29*'Shipment Data'!I29)/5000)</f>
        <v/>
      </c>
      <c r="G29" s="17">
        <f>IF('Shipment Data'!A29="","",CEILING(MAX(E29,F29),0.5))</f>
        <v/>
      </c>
      <c r="H29" s="16">
        <f>IF('Shipment Data'!A29="","",'Shipment Data'!K29)</f>
        <v/>
      </c>
      <c r="I29" s="6">
        <f>IF('Shipment Data'!A29="","",IF(H29&gt;G29,"COURIER OVER-ROUNDED WEIGHT","OK"))</f>
        <v/>
      </c>
      <c r="J29" s="18">
        <f>IF('Shipment Data'!A29="","",INDEX('Rate Card'!$D$4:$D$8,MATCH(B29,'Rate Card'!$A$4:$A$8,0)))</f>
        <v/>
      </c>
      <c r="K29" s="18">
        <f>IF('Shipment Data'!A29="","",ROUND((G29-INDEX('Rate Card'!$C$4:$C$8,MATCH(B29,'Rate Card'!$A$4:$A$8,0)))/0.5,0)*INDEX('Rate Card'!$E$4:$E$8,MATCH(B29,'Rate Card'!$A$4:$A$8,0)))</f>
        <v/>
      </c>
      <c r="L29" s="18">
        <f>IF('Shipment Data'!A29="","",IF(C29="COD",MAX('Shipment Data'!E29*INDEX('Rate Card'!$F$4:$F$8,MATCH(B29,'Rate Card'!$A$4:$A$8,0)),INDEX('Rate Card'!$G$4:$G$8,MATCH(B29,'Rate Card'!$A$4:$A$8,0))),0))</f>
        <v/>
      </c>
      <c r="M29" s="18">
        <f>IF('Shipment Data'!A29="","",IF(D29="RTO",(J29+K29)*INDEX('Rate Card'!$H$4:$H$8,MATCH(B29,'Rate Card'!$A$4:$A$8,0)),0))</f>
        <v/>
      </c>
      <c r="N29" s="19">
        <f>IF('Shipment Data'!A29="","",J29+K29+L29+M29)</f>
        <v/>
      </c>
      <c r="O29" s="18">
        <f>IF('Shipment Data'!A29="","",'Shipment Data'!L29)</f>
        <v/>
      </c>
      <c r="P29" s="19">
        <f>IF('Shipment Data'!A29="","",O29-N29)</f>
        <v/>
      </c>
      <c r="Q29" s="6">
        <f>IF('Shipment Data'!A29="","",IF(P29&gt;1,"OVERCHARGED",IF(P29&lt;-1,"UNDERBILLED","MATCH")))</f>
        <v/>
      </c>
    </row>
    <row r="30">
      <c r="A30" s="15">
        <f>IF('Shipment Data'!A30="","",'Shipment Data'!A30)</f>
        <v/>
      </c>
      <c r="B30" s="15">
        <f>IF('Shipment Data'!A30="","",'Shipment Data'!C30)</f>
        <v/>
      </c>
      <c r="C30" s="15">
        <f>IF('Shipment Data'!A30="","",'Shipment Data'!D30)</f>
        <v/>
      </c>
      <c r="D30" s="15">
        <f>IF('Shipment Data'!A30="","",'Shipment Data'!J30)</f>
        <v/>
      </c>
      <c r="E30" s="16">
        <f>IF('Shipment Data'!A30="","",'Shipment Data'!F30)</f>
        <v/>
      </c>
      <c r="F30" s="17">
        <f>IF('Shipment Data'!A30="","",('Shipment Data'!G30*'Shipment Data'!H30*'Shipment Data'!I30)/5000)</f>
        <v/>
      </c>
      <c r="G30" s="17">
        <f>IF('Shipment Data'!A30="","",CEILING(MAX(E30,F30),0.5))</f>
        <v/>
      </c>
      <c r="H30" s="16">
        <f>IF('Shipment Data'!A30="","",'Shipment Data'!K30)</f>
        <v/>
      </c>
      <c r="I30" s="6">
        <f>IF('Shipment Data'!A30="","",IF(H30&gt;G30,"COURIER OVER-ROUNDED WEIGHT","OK"))</f>
        <v/>
      </c>
      <c r="J30" s="18">
        <f>IF('Shipment Data'!A30="","",INDEX('Rate Card'!$D$4:$D$8,MATCH(B30,'Rate Card'!$A$4:$A$8,0)))</f>
        <v/>
      </c>
      <c r="K30" s="18">
        <f>IF('Shipment Data'!A30="","",ROUND((G30-INDEX('Rate Card'!$C$4:$C$8,MATCH(B30,'Rate Card'!$A$4:$A$8,0)))/0.5,0)*INDEX('Rate Card'!$E$4:$E$8,MATCH(B30,'Rate Card'!$A$4:$A$8,0)))</f>
        <v/>
      </c>
      <c r="L30" s="18">
        <f>IF('Shipment Data'!A30="","",IF(C30="COD",MAX('Shipment Data'!E30*INDEX('Rate Card'!$F$4:$F$8,MATCH(B30,'Rate Card'!$A$4:$A$8,0)),INDEX('Rate Card'!$G$4:$G$8,MATCH(B30,'Rate Card'!$A$4:$A$8,0))),0))</f>
        <v/>
      </c>
      <c r="M30" s="18">
        <f>IF('Shipment Data'!A30="","",IF(D30="RTO",(J30+K30)*INDEX('Rate Card'!$H$4:$H$8,MATCH(B30,'Rate Card'!$A$4:$A$8,0)),0))</f>
        <v/>
      </c>
      <c r="N30" s="19">
        <f>IF('Shipment Data'!A30="","",J30+K30+L30+M30)</f>
        <v/>
      </c>
      <c r="O30" s="18">
        <f>IF('Shipment Data'!A30="","",'Shipment Data'!L30)</f>
        <v/>
      </c>
      <c r="P30" s="19">
        <f>IF('Shipment Data'!A30="","",O30-N30)</f>
        <v/>
      </c>
      <c r="Q30" s="6">
        <f>IF('Shipment Data'!A30="","",IF(P30&gt;1,"OVERCHARGED",IF(P30&lt;-1,"UNDERBILLED","MATCH")))</f>
        <v/>
      </c>
    </row>
    <row r="31">
      <c r="A31" s="15">
        <f>IF('Shipment Data'!A31="","",'Shipment Data'!A31)</f>
        <v/>
      </c>
      <c r="B31" s="15">
        <f>IF('Shipment Data'!A31="","",'Shipment Data'!C31)</f>
        <v/>
      </c>
      <c r="C31" s="15">
        <f>IF('Shipment Data'!A31="","",'Shipment Data'!D31)</f>
        <v/>
      </c>
      <c r="D31" s="15">
        <f>IF('Shipment Data'!A31="","",'Shipment Data'!J31)</f>
        <v/>
      </c>
      <c r="E31" s="16">
        <f>IF('Shipment Data'!A31="","",'Shipment Data'!F31)</f>
        <v/>
      </c>
      <c r="F31" s="17">
        <f>IF('Shipment Data'!A31="","",('Shipment Data'!G31*'Shipment Data'!H31*'Shipment Data'!I31)/5000)</f>
        <v/>
      </c>
      <c r="G31" s="17">
        <f>IF('Shipment Data'!A31="","",CEILING(MAX(E31,F31),0.5))</f>
        <v/>
      </c>
      <c r="H31" s="16">
        <f>IF('Shipment Data'!A31="","",'Shipment Data'!K31)</f>
        <v/>
      </c>
      <c r="I31" s="6">
        <f>IF('Shipment Data'!A31="","",IF(H31&gt;G31,"COURIER OVER-ROUNDED WEIGHT","OK"))</f>
        <v/>
      </c>
      <c r="J31" s="18">
        <f>IF('Shipment Data'!A31="","",INDEX('Rate Card'!$D$4:$D$8,MATCH(B31,'Rate Card'!$A$4:$A$8,0)))</f>
        <v/>
      </c>
      <c r="K31" s="18">
        <f>IF('Shipment Data'!A31="","",ROUND((G31-INDEX('Rate Card'!$C$4:$C$8,MATCH(B31,'Rate Card'!$A$4:$A$8,0)))/0.5,0)*INDEX('Rate Card'!$E$4:$E$8,MATCH(B31,'Rate Card'!$A$4:$A$8,0)))</f>
        <v/>
      </c>
      <c r="L31" s="18">
        <f>IF('Shipment Data'!A31="","",IF(C31="COD",MAX('Shipment Data'!E31*INDEX('Rate Card'!$F$4:$F$8,MATCH(B31,'Rate Card'!$A$4:$A$8,0)),INDEX('Rate Card'!$G$4:$G$8,MATCH(B31,'Rate Card'!$A$4:$A$8,0))),0))</f>
        <v/>
      </c>
      <c r="M31" s="18">
        <f>IF('Shipment Data'!A31="","",IF(D31="RTO",(J31+K31)*INDEX('Rate Card'!$H$4:$H$8,MATCH(B31,'Rate Card'!$A$4:$A$8,0)),0))</f>
        <v/>
      </c>
      <c r="N31" s="19">
        <f>IF('Shipment Data'!A31="","",J31+K31+L31+M31)</f>
        <v/>
      </c>
      <c r="O31" s="18">
        <f>IF('Shipment Data'!A31="","",'Shipment Data'!L31)</f>
        <v/>
      </c>
      <c r="P31" s="19">
        <f>IF('Shipment Data'!A31="","",O31-N31)</f>
        <v/>
      </c>
      <c r="Q31" s="6">
        <f>IF('Shipment Data'!A31="","",IF(P31&gt;1,"OVERCHARGED",IF(P31&lt;-1,"UNDERBILLED","MATCH")))</f>
        <v/>
      </c>
    </row>
    <row r="32">
      <c r="A32" s="15">
        <f>IF('Shipment Data'!A32="","",'Shipment Data'!A32)</f>
        <v/>
      </c>
      <c r="B32" s="15">
        <f>IF('Shipment Data'!A32="","",'Shipment Data'!C32)</f>
        <v/>
      </c>
      <c r="C32" s="15">
        <f>IF('Shipment Data'!A32="","",'Shipment Data'!D32)</f>
        <v/>
      </c>
      <c r="D32" s="15">
        <f>IF('Shipment Data'!A32="","",'Shipment Data'!J32)</f>
        <v/>
      </c>
      <c r="E32" s="16">
        <f>IF('Shipment Data'!A32="","",'Shipment Data'!F32)</f>
        <v/>
      </c>
      <c r="F32" s="17">
        <f>IF('Shipment Data'!A32="","",('Shipment Data'!G32*'Shipment Data'!H32*'Shipment Data'!I32)/5000)</f>
        <v/>
      </c>
      <c r="G32" s="17">
        <f>IF('Shipment Data'!A32="","",CEILING(MAX(E32,F32),0.5))</f>
        <v/>
      </c>
      <c r="H32" s="16">
        <f>IF('Shipment Data'!A32="","",'Shipment Data'!K32)</f>
        <v/>
      </c>
      <c r="I32" s="6">
        <f>IF('Shipment Data'!A32="","",IF(H32&gt;G32,"COURIER OVER-ROUNDED WEIGHT","OK"))</f>
        <v/>
      </c>
      <c r="J32" s="18">
        <f>IF('Shipment Data'!A32="","",INDEX('Rate Card'!$D$4:$D$8,MATCH(B32,'Rate Card'!$A$4:$A$8,0)))</f>
        <v/>
      </c>
      <c r="K32" s="18">
        <f>IF('Shipment Data'!A32="","",ROUND((G32-INDEX('Rate Card'!$C$4:$C$8,MATCH(B32,'Rate Card'!$A$4:$A$8,0)))/0.5,0)*INDEX('Rate Card'!$E$4:$E$8,MATCH(B32,'Rate Card'!$A$4:$A$8,0)))</f>
        <v/>
      </c>
      <c r="L32" s="18">
        <f>IF('Shipment Data'!A32="","",IF(C32="COD",MAX('Shipment Data'!E32*INDEX('Rate Card'!$F$4:$F$8,MATCH(B32,'Rate Card'!$A$4:$A$8,0)),INDEX('Rate Card'!$G$4:$G$8,MATCH(B32,'Rate Card'!$A$4:$A$8,0))),0))</f>
        <v/>
      </c>
      <c r="M32" s="18">
        <f>IF('Shipment Data'!A32="","",IF(D32="RTO",(J32+K32)*INDEX('Rate Card'!$H$4:$H$8,MATCH(B32,'Rate Card'!$A$4:$A$8,0)),0))</f>
        <v/>
      </c>
      <c r="N32" s="19">
        <f>IF('Shipment Data'!A32="","",J32+K32+L32+M32)</f>
        <v/>
      </c>
      <c r="O32" s="18">
        <f>IF('Shipment Data'!A32="","",'Shipment Data'!L32)</f>
        <v/>
      </c>
      <c r="P32" s="19">
        <f>IF('Shipment Data'!A32="","",O32-N32)</f>
        <v/>
      </c>
      <c r="Q32" s="6">
        <f>IF('Shipment Data'!A32="","",IF(P32&gt;1,"OVERCHARGED",IF(P32&lt;-1,"UNDERBILLED","MATCH")))</f>
        <v/>
      </c>
    </row>
    <row r="33">
      <c r="A33" s="15">
        <f>IF('Shipment Data'!A33="","",'Shipment Data'!A33)</f>
        <v/>
      </c>
      <c r="B33" s="15">
        <f>IF('Shipment Data'!A33="","",'Shipment Data'!C33)</f>
        <v/>
      </c>
      <c r="C33" s="15">
        <f>IF('Shipment Data'!A33="","",'Shipment Data'!D33)</f>
        <v/>
      </c>
      <c r="D33" s="15">
        <f>IF('Shipment Data'!A33="","",'Shipment Data'!J33)</f>
        <v/>
      </c>
      <c r="E33" s="16">
        <f>IF('Shipment Data'!A33="","",'Shipment Data'!F33)</f>
        <v/>
      </c>
      <c r="F33" s="17">
        <f>IF('Shipment Data'!A33="","",('Shipment Data'!G33*'Shipment Data'!H33*'Shipment Data'!I33)/5000)</f>
        <v/>
      </c>
      <c r="G33" s="17">
        <f>IF('Shipment Data'!A33="","",CEILING(MAX(E33,F33),0.5))</f>
        <v/>
      </c>
      <c r="H33" s="16">
        <f>IF('Shipment Data'!A33="","",'Shipment Data'!K33)</f>
        <v/>
      </c>
      <c r="I33" s="6">
        <f>IF('Shipment Data'!A33="","",IF(H33&gt;G33,"COURIER OVER-ROUNDED WEIGHT","OK"))</f>
        <v/>
      </c>
      <c r="J33" s="18">
        <f>IF('Shipment Data'!A33="","",INDEX('Rate Card'!$D$4:$D$8,MATCH(B33,'Rate Card'!$A$4:$A$8,0)))</f>
        <v/>
      </c>
      <c r="K33" s="18">
        <f>IF('Shipment Data'!A33="","",ROUND((G33-INDEX('Rate Card'!$C$4:$C$8,MATCH(B33,'Rate Card'!$A$4:$A$8,0)))/0.5,0)*INDEX('Rate Card'!$E$4:$E$8,MATCH(B33,'Rate Card'!$A$4:$A$8,0)))</f>
        <v/>
      </c>
      <c r="L33" s="18">
        <f>IF('Shipment Data'!A33="","",IF(C33="COD",MAX('Shipment Data'!E33*INDEX('Rate Card'!$F$4:$F$8,MATCH(B33,'Rate Card'!$A$4:$A$8,0)),INDEX('Rate Card'!$G$4:$G$8,MATCH(B33,'Rate Card'!$A$4:$A$8,0))),0))</f>
        <v/>
      </c>
      <c r="M33" s="18">
        <f>IF('Shipment Data'!A33="","",IF(D33="RTO",(J33+K33)*INDEX('Rate Card'!$H$4:$H$8,MATCH(B33,'Rate Card'!$A$4:$A$8,0)),0))</f>
        <v/>
      </c>
      <c r="N33" s="19">
        <f>IF('Shipment Data'!A33="","",J33+K33+L33+M33)</f>
        <v/>
      </c>
      <c r="O33" s="18">
        <f>IF('Shipment Data'!A33="","",'Shipment Data'!L33)</f>
        <v/>
      </c>
      <c r="P33" s="19">
        <f>IF('Shipment Data'!A33="","",O33-N33)</f>
        <v/>
      </c>
      <c r="Q33" s="6">
        <f>IF('Shipment Data'!A33="","",IF(P33&gt;1,"OVERCHARGED",IF(P33&lt;-1,"UNDERBILLED","MATCH")))</f>
        <v/>
      </c>
    </row>
    <row r="34">
      <c r="A34" s="15">
        <f>IF('Shipment Data'!A34="","",'Shipment Data'!A34)</f>
        <v/>
      </c>
      <c r="B34" s="15">
        <f>IF('Shipment Data'!A34="","",'Shipment Data'!C34)</f>
        <v/>
      </c>
      <c r="C34" s="15">
        <f>IF('Shipment Data'!A34="","",'Shipment Data'!D34)</f>
        <v/>
      </c>
      <c r="D34" s="15">
        <f>IF('Shipment Data'!A34="","",'Shipment Data'!J34)</f>
        <v/>
      </c>
      <c r="E34" s="16">
        <f>IF('Shipment Data'!A34="","",'Shipment Data'!F34)</f>
        <v/>
      </c>
      <c r="F34" s="17">
        <f>IF('Shipment Data'!A34="","",('Shipment Data'!G34*'Shipment Data'!H34*'Shipment Data'!I34)/5000)</f>
        <v/>
      </c>
      <c r="G34" s="17">
        <f>IF('Shipment Data'!A34="","",CEILING(MAX(E34,F34),0.5))</f>
        <v/>
      </c>
      <c r="H34" s="16">
        <f>IF('Shipment Data'!A34="","",'Shipment Data'!K34)</f>
        <v/>
      </c>
      <c r="I34" s="6">
        <f>IF('Shipment Data'!A34="","",IF(H34&gt;G34,"COURIER OVER-ROUNDED WEIGHT","OK"))</f>
        <v/>
      </c>
      <c r="J34" s="18">
        <f>IF('Shipment Data'!A34="","",INDEX('Rate Card'!$D$4:$D$8,MATCH(B34,'Rate Card'!$A$4:$A$8,0)))</f>
        <v/>
      </c>
      <c r="K34" s="18">
        <f>IF('Shipment Data'!A34="","",ROUND((G34-INDEX('Rate Card'!$C$4:$C$8,MATCH(B34,'Rate Card'!$A$4:$A$8,0)))/0.5,0)*INDEX('Rate Card'!$E$4:$E$8,MATCH(B34,'Rate Card'!$A$4:$A$8,0)))</f>
        <v/>
      </c>
      <c r="L34" s="18">
        <f>IF('Shipment Data'!A34="","",IF(C34="COD",MAX('Shipment Data'!E34*INDEX('Rate Card'!$F$4:$F$8,MATCH(B34,'Rate Card'!$A$4:$A$8,0)),INDEX('Rate Card'!$G$4:$G$8,MATCH(B34,'Rate Card'!$A$4:$A$8,0))),0))</f>
        <v/>
      </c>
      <c r="M34" s="18">
        <f>IF('Shipment Data'!A34="","",IF(D34="RTO",(J34+K34)*INDEX('Rate Card'!$H$4:$H$8,MATCH(B34,'Rate Card'!$A$4:$A$8,0)),0))</f>
        <v/>
      </c>
      <c r="N34" s="19">
        <f>IF('Shipment Data'!A34="","",J34+K34+L34+M34)</f>
        <v/>
      </c>
      <c r="O34" s="18">
        <f>IF('Shipment Data'!A34="","",'Shipment Data'!L34)</f>
        <v/>
      </c>
      <c r="P34" s="19">
        <f>IF('Shipment Data'!A34="","",O34-N34)</f>
        <v/>
      </c>
      <c r="Q34" s="6">
        <f>IF('Shipment Data'!A34="","",IF(P34&gt;1,"OVERCHARGED",IF(P34&lt;-1,"UNDERBILLED","MATCH")))</f>
        <v/>
      </c>
    </row>
    <row r="35">
      <c r="A35" s="15">
        <f>IF('Shipment Data'!A35="","",'Shipment Data'!A35)</f>
        <v/>
      </c>
      <c r="B35" s="15">
        <f>IF('Shipment Data'!A35="","",'Shipment Data'!C35)</f>
        <v/>
      </c>
      <c r="C35" s="15">
        <f>IF('Shipment Data'!A35="","",'Shipment Data'!D35)</f>
        <v/>
      </c>
      <c r="D35" s="15">
        <f>IF('Shipment Data'!A35="","",'Shipment Data'!J35)</f>
        <v/>
      </c>
      <c r="E35" s="16">
        <f>IF('Shipment Data'!A35="","",'Shipment Data'!F35)</f>
        <v/>
      </c>
      <c r="F35" s="17">
        <f>IF('Shipment Data'!A35="","",('Shipment Data'!G35*'Shipment Data'!H35*'Shipment Data'!I35)/5000)</f>
        <v/>
      </c>
      <c r="G35" s="17">
        <f>IF('Shipment Data'!A35="","",CEILING(MAX(E35,F35),0.5))</f>
        <v/>
      </c>
      <c r="H35" s="16">
        <f>IF('Shipment Data'!A35="","",'Shipment Data'!K35)</f>
        <v/>
      </c>
      <c r="I35" s="6">
        <f>IF('Shipment Data'!A35="","",IF(H35&gt;G35,"COURIER OVER-ROUNDED WEIGHT","OK"))</f>
        <v/>
      </c>
      <c r="J35" s="18">
        <f>IF('Shipment Data'!A35="","",INDEX('Rate Card'!$D$4:$D$8,MATCH(B35,'Rate Card'!$A$4:$A$8,0)))</f>
        <v/>
      </c>
      <c r="K35" s="18">
        <f>IF('Shipment Data'!A35="","",ROUND((G35-INDEX('Rate Card'!$C$4:$C$8,MATCH(B35,'Rate Card'!$A$4:$A$8,0)))/0.5,0)*INDEX('Rate Card'!$E$4:$E$8,MATCH(B35,'Rate Card'!$A$4:$A$8,0)))</f>
        <v/>
      </c>
      <c r="L35" s="18">
        <f>IF('Shipment Data'!A35="","",IF(C35="COD",MAX('Shipment Data'!E35*INDEX('Rate Card'!$F$4:$F$8,MATCH(B35,'Rate Card'!$A$4:$A$8,0)),INDEX('Rate Card'!$G$4:$G$8,MATCH(B35,'Rate Card'!$A$4:$A$8,0))),0))</f>
        <v/>
      </c>
      <c r="M35" s="18">
        <f>IF('Shipment Data'!A35="","",IF(D35="RTO",(J35+K35)*INDEX('Rate Card'!$H$4:$H$8,MATCH(B35,'Rate Card'!$A$4:$A$8,0)),0))</f>
        <v/>
      </c>
      <c r="N35" s="19">
        <f>IF('Shipment Data'!A35="","",J35+K35+L35+M35)</f>
        <v/>
      </c>
      <c r="O35" s="18">
        <f>IF('Shipment Data'!A35="","",'Shipment Data'!L35)</f>
        <v/>
      </c>
      <c r="P35" s="19">
        <f>IF('Shipment Data'!A35="","",O35-N35)</f>
        <v/>
      </c>
      <c r="Q35" s="6">
        <f>IF('Shipment Data'!A35="","",IF(P35&gt;1,"OVERCHARGED",IF(P35&lt;-1,"UNDERBILLED","MATCH")))</f>
        <v/>
      </c>
    </row>
    <row r="36">
      <c r="A36" s="15">
        <f>IF('Shipment Data'!A36="","",'Shipment Data'!A36)</f>
        <v/>
      </c>
      <c r="B36" s="15">
        <f>IF('Shipment Data'!A36="","",'Shipment Data'!C36)</f>
        <v/>
      </c>
      <c r="C36" s="15">
        <f>IF('Shipment Data'!A36="","",'Shipment Data'!D36)</f>
        <v/>
      </c>
      <c r="D36" s="15">
        <f>IF('Shipment Data'!A36="","",'Shipment Data'!J36)</f>
        <v/>
      </c>
      <c r="E36" s="16">
        <f>IF('Shipment Data'!A36="","",'Shipment Data'!F36)</f>
        <v/>
      </c>
      <c r="F36" s="17">
        <f>IF('Shipment Data'!A36="","",('Shipment Data'!G36*'Shipment Data'!H36*'Shipment Data'!I36)/5000)</f>
        <v/>
      </c>
      <c r="G36" s="17">
        <f>IF('Shipment Data'!A36="","",CEILING(MAX(E36,F36),0.5))</f>
        <v/>
      </c>
      <c r="H36" s="16">
        <f>IF('Shipment Data'!A36="","",'Shipment Data'!K36)</f>
        <v/>
      </c>
      <c r="I36" s="6">
        <f>IF('Shipment Data'!A36="","",IF(H36&gt;G36,"COURIER OVER-ROUNDED WEIGHT","OK"))</f>
        <v/>
      </c>
      <c r="J36" s="18">
        <f>IF('Shipment Data'!A36="","",INDEX('Rate Card'!$D$4:$D$8,MATCH(B36,'Rate Card'!$A$4:$A$8,0)))</f>
        <v/>
      </c>
      <c r="K36" s="18">
        <f>IF('Shipment Data'!A36="","",ROUND((G36-INDEX('Rate Card'!$C$4:$C$8,MATCH(B36,'Rate Card'!$A$4:$A$8,0)))/0.5,0)*INDEX('Rate Card'!$E$4:$E$8,MATCH(B36,'Rate Card'!$A$4:$A$8,0)))</f>
        <v/>
      </c>
      <c r="L36" s="18">
        <f>IF('Shipment Data'!A36="","",IF(C36="COD",MAX('Shipment Data'!E36*INDEX('Rate Card'!$F$4:$F$8,MATCH(B36,'Rate Card'!$A$4:$A$8,0)),INDEX('Rate Card'!$G$4:$G$8,MATCH(B36,'Rate Card'!$A$4:$A$8,0))),0))</f>
        <v/>
      </c>
      <c r="M36" s="18">
        <f>IF('Shipment Data'!A36="","",IF(D36="RTO",(J36+K36)*INDEX('Rate Card'!$H$4:$H$8,MATCH(B36,'Rate Card'!$A$4:$A$8,0)),0))</f>
        <v/>
      </c>
      <c r="N36" s="19">
        <f>IF('Shipment Data'!A36="","",J36+K36+L36+M36)</f>
        <v/>
      </c>
      <c r="O36" s="18">
        <f>IF('Shipment Data'!A36="","",'Shipment Data'!L36)</f>
        <v/>
      </c>
      <c r="P36" s="19">
        <f>IF('Shipment Data'!A36="","",O36-N36)</f>
        <v/>
      </c>
      <c r="Q36" s="6">
        <f>IF('Shipment Data'!A36="","",IF(P36&gt;1,"OVERCHARGED",IF(P36&lt;-1,"UNDERBILLED","MATCH")))</f>
        <v/>
      </c>
    </row>
    <row r="37">
      <c r="A37" s="15">
        <f>IF('Shipment Data'!A37="","",'Shipment Data'!A37)</f>
        <v/>
      </c>
      <c r="B37" s="15">
        <f>IF('Shipment Data'!A37="","",'Shipment Data'!C37)</f>
        <v/>
      </c>
      <c r="C37" s="15">
        <f>IF('Shipment Data'!A37="","",'Shipment Data'!D37)</f>
        <v/>
      </c>
      <c r="D37" s="15">
        <f>IF('Shipment Data'!A37="","",'Shipment Data'!J37)</f>
        <v/>
      </c>
      <c r="E37" s="16">
        <f>IF('Shipment Data'!A37="","",'Shipment Data'!F37)</f>
        <v/>
      </c>
      <c r="F37" s="17">
        <f>IF('Shipment Data'!A37="","",('Shipment Data'!G37*'Shipment Data'!H37*'Shipment Data'!I37)/5000)</f>
        <v/>
      </c>
      <c r="G37" s="17">
        <f>IF('Shipment Data'!A37="","",CEILING(MAX(E37,F37),0.5))</f>
        <v/>
      </c>
      <c r="H37" s="16">
        <f>IF('Shipment Data'!A37="","",'Shipment Data'!K37)</f>
        <v/>
      </c>
      <c r="I37" s="6">
        <f>IF('Shipment Data'!A37="","",IF(H37&gt;G37,"COURIER OVER-ROUNDED WEIGHT","OK"))</f>
        <v/>
      </c>
      <c r="J37" s="18">
        <f>IF('Shipment Data'!A37="","",INDEX('Rate Card'!$D$4:$D$8,MATCH(B37,'Rate Card'!$A$4:$A$8,0)))</f>
        <v/>
      </c>
      <c r="K37" s="18">
        <f>IF('Shipment Data'!A37="","",ROUND((G37-INDEX('Rate Card'!$C$4:$C$8,MATCH(B37,'Rate Card'!$A$4:$A$8,0)))/0.5,0)*INDEX('Rate Card'!$E$4:$E$8,MATCH(B37,'Rate Card'!$A$4:$A$8,0)))</f>
        <v/>
      </c>
      <c r="L37" s="18">
        <f>IF('Shipment Data'!A37="","",IF(C37="COD",MAX('Shipment Data'!E37*INDEX('Rate Card'!$F$4:$F$8,MATCH(B37,'Rate Card'!$A$4:$A$8,0)),INDEX('Rate Card'!$G$4:$G$8,MATCH(B37,'Rate Card'!$A$4:$A$8,0))),0))</f>
        <v/>
      </c>
      <c r="M37" s="18">
        <f>IF('Shipment Data'!A37="","",IF(D37="RTO",(J37+K37)*INDEX('Rate Card'!$H$4:$H$8,MATCH(B37,'Rate Card'!$A$4:$A$8,0)),0))</f>
        <v/>
      </c>
      <c r="N37" s="19">
        <f>IF('Shipment Data'!A37="","",J37+K37+L37+M37)</f>
        <v/>
      </c>
      <c r="O37" s="18">
        <f>IF('Shipment Data'!A37="","",'Shipment Data'!L37)</f>
        <v/>
      </c>
      <c r="P37" s="19">
        <f>IF('Shipment Data'!A37="","",O37-N37)</f>
        <v/>
      </c>
      <c r="Q37" s="6">
        <f>IF('Shipment Data'!A37="","",IF(P37&gt;1,"OVERCHARGED",IF(P37&lt;-1,"UNDERBILLED","MATCH")))</f>
        <v/>
      </c>
    </row>
    <row r="38">
      <c r="A38" s="15">
        <f>IF('Shipment Data'!A38="","",'Shipment Data'!A38)</f>
        <v/>
      </c>
      <c r="B38" s="15">
        <f>IF('Shipment Data'!A38="","",'Shipment Data'!C38)</f>
        <v/>
      </c>
      <c r="C38" s="15">
        <f>IF('Shipment Data'!A38="","",'Shipment Data'!D38)</f>
        <v/>
      </c>
      <c r="D38" s="15">
        <f>IF('Shipment Data'!A38="","",'Shipment Data'!J38)</f>
        <v/>
      </c>
      <c r="E38" s="16">
        <f>IF('Shipment Data'!A38="","",'Shipment Data'!F38)</f>
        <v/>
      </c>
      <c r="F38" s="17">
        <f>IF('Shipment Data'!A38="","",('Shipment Data'!G38*'Shipment Data'!H38*'Shipment Data'!I38)/5000)</f>
        <v/>
      </c>
      <c r="G38" s="17">
        <f>IF('Shipment Data'!A38="","",CEILING(MAX(E38,F38),0.5))</f>
        <v/>
      </c>
      <c r="H38" s="16">
        <f>IF('Shipment Data'!A38="","",'Shipment Data'!K38)</f>
        <v/>
      </c>
      <c r="I38" s="6">
        <f>IF('Shipment Data'!A38="","",IF(H38&gt;G38,"COURIER OVER-ROUNDED WEIGHT","OK"))</f>
        <v/>
      </c>
      <c r="J38" s="18">
        <f>IF('Shipment Data'!A38="","",INDEX('Rate Card'!$D$4:$D$8,MATCH(B38,'Rate Card'!$A$4:$A$8,0)))</f>
        <v/>
      </c>
      <c r="K38" s="18">
        <f>IF('Shipment Data'!A38="","",ROUND((G38-INDEX('Rate Card'!$C$4:$C$8,MATCH(B38,'Rate Card'!$A$4:$A$8,0)))/0.5,0)*INDEX('Rate Card'!$E$4:$E$8,MATCH(B38,'Rate Card'!$A$4:$A$8,0)))</f>
        <v/>
      </c>
      <c r="L38" s="18">
        <f>IF('Shipment Data'!A38="","",IF(C38="COD",MAX('Shipment Data'!E38*INDEX('Rate Card'!$F$4:$F$8,MATCH(B38,'Rate Card'!$A$4:$A$8,0)),INDEX('Rate Card'!$G$4:$G$8,MATCH(B38,'Rate Card'!$A$4:$A$8,0))),0))</f>
        <v/>
      </c>
      <c r="M38" s="18">
        <f>IF('Shipment Data'!A38="","",IF(D38="RTO",(J38+K38)*INDEX('Rate Card'!$H$4:$H$8,MATCH(B38,'Rate Card'!$A$4:$A$8,0)),0))</f>
        <v/>
      </c>
      <c r="N38" s="19">
        <f>IF('Shipment Data'!A38="","",J38+K38+L38+M38)</f>
        <v/>
      </c>
      <c r="O38" s="18">
        <f>IF('Shipment Data'!A38="","",'Shipment Data'!L38)</f>
        <v/>
      </c>
      <c r="P38" s="19">
        <f>IF('Shipment Data'!A38="","",O38-N38)</f>
        <v/>
      </c>
      <c r="Q38" s="6">
        <f>IF('Shipment Data'!A38="","",IF(P38&gt;1,"OVERCHARGED",IF(P38&lt;-1,"UNDERBILLED","MATCH")))</f>
        <v/>
      </c>
    </row>
    <row r="39">
      <c r="A39" s="15">
        <f>IF('Shipment Data'!A39="","",'Shipment Data'!A39)</f>
        <v/>
      </c>
      <c r="B39" s="15">
        <f>IF('Shipment Data'!A39="","",'Shipment Data'!C39)</f>
        <v/>
      </c>
      <c r="C39" s="15">
        <f>IF('Shipment Data'!A39="","",'Shipment Data'!D39)</f>
        <v/>
      </c>
      <c r="D39" s="15">
        <f>IF('Shipment Data'!A39="","",'Shipment Data'!J39)</f>
        <v/>
      </c>
      <c r="E39" s="16">
        <f>IF('Shipment Data'!A39="","",'Shipment Data'!F39)</f>
        <v/>
      </c>
      <c r="F39" s="17">
        <f>IF('Shipment Data'!A39="","",('Shipment Data'!G39*'Shipment Data'!H39*'Shipment Data'!I39)/5000)</f>
        <v/>
      </c>
      <c r="G39" s="17">
        <f>IF('Shipment Data'!A39="","",CEILING(MAX(E39,F39),0.5))</f>
        <v/>
      </c>
      <c r="H39" s="16">
        <f>IF('Shipment Data'!A39="","",'Shipment Data'!K39)</f>
        <v/>
      </c>
      <c r="I39" s="6">
        <f>IF('Shipment Data'!A39="","",IF(H39&gt;G39,"COURIER OVER-ROUNDED WEIGHT","OK"))</f>
        <v/>
      </c>
      <c r="J39" s="18">
        <f>IF('Shipment Data'!A39="","",INDEX('Rate Card'!$D$4:$D$8,MATCH(B39,'Rate Card'!$A$4:$A$8,0)))</f>
        <v/>
      </c>
      <c r="K39" s="18">
        <f>IF('Shipment Data'!A39="","",ROUND((G39-INDEX('Rate Card'!$C$4:$C$8,MATCH(B39,'Rate Card'!$A$4:$A$8,0)))/0.5,0)*INDEX('Rate Card'!$E$4:$E$8,MATCH(B39,'Rate Card'!$A$4:$A$8,0)))</f>
        <v/>
      </c>
      <c r="L39" s="18">
        <f>IF('Shipment Data'!A39="","",IF(C39="COD",MAX('Shipment Data'!E39*INDEX('Rate Card'!$F$4:$F$8,MATCH(B39,'Rate Card'!$A$4:$A$8,0)),INDEX('Rate Card'!$G$4:$G$8,MATCH(B39,'Rate Card'!$A$4:$A$8,0))),0))</f>
        <v/>
      </c>
      <c r="M39" s="18">
        <f>IF('Shipment Data'!A39="","",IF(D39="RTO",(J39+K39)*INDEX('Rate Card'!$H$4:$H$8,MATCH(B39,'Rate Card'!$A$4:$A$8,0)),0))</f>
        <v/>
      </c>
      <c r="N39" s="19">
        <f>IF('Shipment Data'!A39="","",J39+K39+L39+M39)</f>
        <v/>
      </c>
      <c r="O39" s="18">
        <f>IF('Shipment Data'!A39="","",'Shipment Data'!L39)</f>
        <v/>
      </c>
      <c r="P39" s="19">
        <f>IF('Shipment Data'!A39="","",O39-N39)</f>
        <v/>
      </c>
      <c r="Q39" s="6">
        <f>IF('Shipment Data'!A39="","",IF(P39&gt;1,"OVERCHARGED",IF(P39&lt;-1,"UNDERBILLED","MATCH")))</f>
        <v/>
      </c>
    </row>
    <row r="40">
      <c r="A40" s="15">
        <f>IF('Shipment Data'!A40="","",'Shipment Data'!A40)</f>
        <v/>
      </c>
      <c r="B40" s="15">
        <f>IF('Shipment Data'!A40="","",'Shipment Data'!C40)</f>
        <v/>
      </c>
      <c r="C40" s="15">
        <f>IF('Shipment Data'!A40="","",'Shipment Data'!D40)</f>
        <v/>
      </c>
      <c r="D40" s="15">
        <f>IF('Shipment Data'!A40="","",'Shipment Data'!J40)</f>
        <v/>
      </c>
      <c r="E40" s="16">
        <f>IF('Shipment Data'!A40="","",'Shipment Data'!F40)</f>
        <v/>
      </c>
      <c r="F40" s="17">
        <f>IF('Shipment Data'!A40="","",('Shipment Data'!G40*'Shipment Data'!H40*'Shipment Data'!I40)/5000)</f>
        <v/>
      </c>
      <c r="G40" s="17">
        <f>IF('Shipment Data'!A40="","",CEILING(MAX(E40,F40),0.5))</f>
        <v/>
      </c>
      <c r="H40" s="16">
        <f>IF('Shipment Data'!A40="","",'Shipment Data'!K40)</f>
        <v/>
      </c>
      <c r="I40" s="6">
        <f>IF('Shipment Data'!A40="","",IF(H40&gt;G40,"COURIER OVER-ROUNDED WEIGHT","OK"))</f>
        <v/>
      </c>
      <c r="J40" s="18">
        <f>IF('Shipment Data'!A40="","",INDEX('Rate Card'!$D$4:$D$8,MATCH(B40,'Rate Card'!$A$4:$A$8,0)))</f>
        <v/>
      </c>
      <c r="K40" s="18">
        <f>IF('Shipment Data'!A40="","",ROUND((G40-INDEX('Rate Card'!$C$4:$C$8,MATCH(B40,'Rate Card'!$A$4:$A$8,0)))/0.5,0)*INDEX('Rate Card'!$E$4:$E$8,MATCH(B40,'Rate Card'!$A$4:$A$8,0)))</f>
        <v/>
      </c>
      <c r="L40" s="18">
        <f>IF('Shipment Data'!A40="","",IF(C40="COD",MAX('Shipment Data'!E40*INDEX('Rate Card'!$F$4:$F$8,MATCH(B40,'Rate Card'!$A$4:$A$8,0)),INDEX('Rate Card'!$G$4:$G$8,MATCH(B40,'Rate Card'!$A$4:$A$8,0))),0))</f>
        <v/>
      </c>
      <c r="M40" s="18">
        <f>IF('Shipment Data'!A40="","",IF(D40="RTO",(J40+K40)*INDEX('Rate Card'!$H$4:$H$8,MATCH(B40,'Rate Card'!$A$4:$A$8,0)),0))</f>
        <v/>
      </c>
      <c r="N40" s="19">
        <f>IF('Shipment Data'!A40="","",J40+K40+L40+M40)</f>
        <v/>
      </c>
      <c r="O40" s="18">
        <f>IF('Shipment Data'!A40="","",'Shipment Data'!L40)</f>
        <v/>
      </c>
      <c r="P40" s="19">
        <f>IF('Shipment Data'!A40="","",O40-N40)</f>
        <v/>
      </c>
      <c r="Q40" s="6">
        <f>IF('Shipment Data'!A40="","",IF(P40&gt;1,"OVERCHARGED",IF(P40&lt;-1,"UNDERBILLED","MATCH")))</f>
        <v/>
      </c>
    </row>
    <row r="41">
      <c r="A41" s="15">
        <f>IF('Shipment Data'!A41="","",'Shipment Data'!A41)</f>
        <v/>
      </c>
      <c r="B41" s="15">
        <f>IF('Shipment Data'!A41="","",'Shipment Data'!C41)</f>
        <v/>
      </c>
      <c r="C41" s="15">
        <f>IF('Shipment Data'!A41="","",'Shipment Data'!D41)</f>
        <v/>
      </c>
      <c r="D41" s="15">
        <f>IF('Shipment Data'!A41="","",'Shipment Data'!J41)</f>
        <v/>
      </c>
      <c r="E41" s="16">
        <f>IF('Shipment Data'!A41="","",'Shipment Data'!F41)</f>
        <v/>
      </c>
      <c r="F41" s="17">
        <f>IF('Shipment Data'!A41="","",('Shipment Data'!G41*'Shipment Data'!H41*'Shipment Data'!I41)/5000)</f>
        <v/>
      </c>
      <c r="G41" s="17">
        <f>IF('Shipment Data'!A41="","",CEILING(MAX(E41,F41),0.5))</f>
        <v/>
      </c>
      <c r="H41" s="16">
        <f>IF('Shipment Data'!A41="","",'Shipment Data'!K41)</f>
        <v/>
      </c>
      <c r="I41" s="6">
        <f>IF('Shipment Data'!A41="","",IF(H41&gt;G41,"COURIER OVER-ROUNDED WEIGHT","OK"))</f>
        <v/>
      </c>
      <c r="J41" s="18">
        <f>IF('Shipment Data'!A41="","",INDEX('Rate Card'!$D$4:$D$8,MATCH(B41,'Rate Card'!$A$4:$A$8,0)))</f>
        <v/>
      </c>
      <c r="K41" s="18">
        <f>IF('Shipment Data'!A41="","",ROUND((G41-INDEX('Rate Card'!$C$4:$C$8,MATCH(B41,'Rate Card'!$A$4:$A$8,0)))/0.5,0)*INDEX('Rate Card'!$E$4:$E$8,MATCH(B41,'Rate Card'!$A$4:$A$8,0)))</f>
        <v/>
      </c>
      <c r="L41" s="18">
        <f>IF('Shipment Data'!A41="","",IF(C41="COD",MAX('Shipment Data'!E41*INDEX('Rate Card'!$F$4:$F$8,MATCH(B41,'Rate Card'!$A$4:$A$8,0)),INDEX('Rate Card'!$G$4:$G$8,MATCH(B41,'Rate Card'!$A$4:$A$8,0))),0))</f>
        <v/>
      </c>
      <c r="M41" s="18">
        <f>IF('Shipment Data'!A41="","",IF(D41="RTO",(J41+K41)*INDEX('Rate Card'!$H$4:$H$8,MATCH(B41,'Rate Card'!$A$4:$A$8,0)),0))</f>
        <v/>
      </c>
      <c r="N41" s="19">
        <f>IF('Shipment Data'!A41="","",J41+K41+L41+M41)</f>
        <v/>
      </c>
      <c r="O41" s="18">
        <f>IF('Shipment Data'!A41="","",'Shipment Data'!L41)</f>
        <v/>
      </c>
      <c r="P41" s="19">
        <f>IF('Shipment Data'!A41="","",O41-N41)</f>
        <v/>
      </c>
      <c r="Q41" s="6">
        <f>IF('Shipment Data'!A41="","",IF(P41&gt;1,"OVERCHARGED",IF(P41&lt;-1,"UNDERBILLED","MATCH")))</f>
        <v/>
      </c>
    </row>
    <row r="42">
      <c r="A42" s="15">
        <f>IF('Shipment Data'!A42="","",'Shipment Data'!A42)</f>
        <v/>
      </c>
      <c r="B42" s="15">
        <f>IF('Shipment Data'!A42="","",'Shipment Data'!C42)</f>
        <v/>
      </c>
      <c r="C42" s="15">
        <f>IF('Shipment Data'!A42="","",'Shipment Data'!D42)</f>
        <v/>
      </c>
      <c r="D42" s="15">
        <f>IF('Shipment Data'!A42="","",'Shipment Data'!J42)</f>
        <v/>
      </c>
      <c r="E42" s="16">
        <f>IF('Shipment Data'!A42="","",'Shipment Data'!F42)</f>
        <v/>
      </c>
      <c r="F42" s="17">
        <f>IF('Shipment Data'!A42="","",('Shipment Data'!G42*'Shipment Data'!H42*'Shipment Data'!I42)/5000)</f>
        <v/>
      </c>
      <c r="G42" s="17">
        <f>IF('Shipment Data'!A42="","",CEILING(MAX(E42,F42),0.5))</f>
        <v/>
      </c>
      <c r="H42" s="16">
        <f>IF('Shipment Data'!A42="","",'Shipment Data'!K42)</f>
        <v/>
      </c>
      <c r="I42" s="6">
        <f>IF('Shipment Data'!A42="","",IF(H42&gt;G42,"COURIER OVER-ROUNDED WEIGHT","OK"))</f>
        <v/>
      </c>
      <c r="J42" s="18">
        <f>IF('Shipment Data'!A42="","",INDEX('Rate Card'!$D$4:$D$8,MATCH(B42,'Rate Card'!$A$4:$A$8,0)))</f>
        <v/>
      </c>
      <c r="K42" s="18">
        <f>IF('Shipment Data'!A42="","",ROUND((G42-INDEX('Rate Card'!$C$4:$C$8,MATCH(B42,'Rate Card'!$A$4:$A$8,0)))/0.5,0)*INDEX('Rate Card'!$E$4:$E$8,MATCH(B42,'Rate Card'!$A$4:$A$8,0)))</f>
        <v/>
      </c>
      <c r="L42" s="18">
        <f>IF('Shipment Data'!A42="","",IF(C42="COD",MAX('Shipment Data'!E42*INDEX('Rate Card'!$F$4:$F$8,MATCH(B42,'Rate Card'!$A$4:$A$8,0)),INDEX('Rate Card'!$G$4:$G$8,MATCH(B42,'Rate Card'!$A$4:$A$8,0))),0))</f>
        <v/>
      </c>
      <c r="M42" s="18">
        <f>IF('Shipment Data'!A42="","",IF(D42="RTO",(J42+K42)*INDEX('Rate Card'!$H$4:$H$8,MATCH(B42,'Rate Card'!$A$4:$A$8,0)),0))</f>
        <v/>
      </c>
      <c r="N42" s="19">
        <f>IF('Shipment Data'!A42="","",J42+K42+L42+M42)</f>
        <v/>
      </c>
      <c r="O42" s="18">
        <f>IF('Shipment Data'!A42="","",'Shipment Data'!L42)</f>
        <v/>
      </c>
      <c r="P42" s="19">
        <f>IF('Shipment Data'!A42="","",O42-N42)</f>
        <v/>
      </c>
      <c r="Q42" s="6">
        <f>IF('Shipment Data'!A42="","",IF(P42&gt;1,"OVERCHARGED",IF(P42&lt;-1,"UNDERBILLED","MATCH")))</f>
        <v/>
      </c>
    </row>
    <row r="43">
      <c r="A43" s="15">
        <f>IF('Shipment Data'!A43="","",'Shipment Data'!A43)</f>
        <v/>
      </c>
      <c r="B43" s="15">
        <f>IF('Shipment Data'!A43="","",'Shipment Data'!C43)</f>
        <v/>
      </c>
      <c r="C43" s="15">
        <f>IF('Shipment Data'!A43="","",'Shipment Data'!D43)</f>
        <v/>
      </c>
      <c r="D43" s="15">
        <f>IF('Shipment Data'!A43="","",'Shipment Data'!J43)</f>
        <v/>
      </c>
      <c r="E43" s="16">
        <f>IF('Shipment Data'!A43="","",'Shipment Data'!F43)</f>
        <v/>
      </c>
      <c r="F43" s="17">
        <f>IF('Shipment Data'!A43="","",('Shipment Data'!G43*'Shipment Data'!H43*'Shipment Data'!I43)/5000)</f>
        <v/>
      </c>
      <c r="G43" s="17">
        <f>IF('Shipment Data'!A43="","",CEILING(MAX(E43,F43),0.5))</f>
        <v/>
      </c>
      <c r="H43" s="16">
        <f>IF('Shipment Data'!A43="","",'Shipment Data'!K43)</f>
        <v/>
      </c>
      <c r="I43" s="6">
        <f>IF('Shipment Data'!A43="","",IF(H43&gt;G43,"COURIER OVER-ROUNDED WEIGHT","OK"))</f>
        <v/>
      </c>
      <c r="J43" s="18">
        <f>IF('Shipment Data'!A43="","",INDEX('Rate Card'!$D$4:$D$8,MATCH(B43,'Rate Card'!$A$4:$A$8,0)))</f>
        <v/>
      </c>
      <c r="K43" s="18">
        <f>IF('Shipment Data'!A43="","",ROUND((G43-INDEX('Rate Card'!$C$4:$C$8,MATCH(B43,'Rate Card'!$A$4:$A$8,0)))/0.5,0)*INDEX('Rate Card'!$E$4:$E$8,MATCH(B43,'Rate Card'!$A$4:$A$8,0)))</f>
        <v/>
      </c>
      <c r="L43" s="18">
        <f>IF('Shipment Data'!A43="","",IF(C43="COD",MAX('Shipment Data'!E43*INDEX('Rate Card'!$F$4:$F$8,MATCH(B43,'Rate Card'!$A$4:$A$8,0)),INDEX('Rate Card'!$G$4:$G$8,MATCH(B43,'Rate Card'!$A$4:$A$8,0))),0))</f>
        <v/>
      </c>
      <c r="M43" s="18">
        <f>IF('Shipment Data'!A43="","",IF(D43="RTO",(J43+K43)*INDEX('Rate Card'!$H$4:$H$8,MATCH(B43,'Rate Card'!$A$4:$A$8,0)),0))</f>
        <v/>
      </c>
      <c r="N43" s="19">
        <f>IF('Shipment Data'!A43="","",J43+K43+L43+M43)</f>
        <v/>
      </c>
      <c r="O43" s="18">
        <f>IF('Shipment Data'!A43="","",'Shipment Data'!L43)</f>
        <v/>
      </c>
      <c r="P43" s="19">
        <f>IF('Shipment Data'!A43="","",O43-N43)</f>
        <v/>
      </c>
      <c r="Q43" s="6">
        <f>IF('Shipment Data'!A43="","",IF(P43&gt;1,"OVERCHARGED",IF(P43&lt;-1,"UNDERBILLED","MATCH")))</f>
        <v/>
      </c>
    </row>
    <row r="44">
      <c r="A44" s="15">
        <f>IF('Shipment Data'!A44="","",'Shipment Data'!A44)</f>
        <v/>
      </c>
      <c r="B44" s="15">
        <f>IF('Shipment Data'!A44="","",'Shipment Data'!C44)</f>
        <v/>
      </c>
      <c r="C44" s="15">
        <f>IF('Shipment Data'!A44="","",'Shipment Data'!D44)</f>
        <v/>
      </c>
      <c r="D44" s="15">
        <f>IF('Shipment Data'!A44="","",'Shipment Data'!J44)</f>
        <v/>
      </c>
      <c r="E44" s="16">
        <f>IF('Shipment Data'!A44="","",'Shipment Data'!F44)</f>
        <v/>
      </c>
      <c r="F44" s="17">
        <f>IF('Shipment Data'!A44="","",('Shipment Data'!G44*'Shipment Data'!H44*'Shipment Data'!I44)/5000)</f>
        <v/>
      </c>
      <c r="G44" s="17">
        <f>IF('Shipment Data'!A44="","",CEILING(MAX(E44,F44),0.5))</f>
        <v/>
      </c>
      <c r="H44" s="16">
        <f>IF('Shipment Data'!A44="","",'Shipment Data'!K44)</f>
        <v/>
      </c>
      <c r="I44" s="6">
        <f>IF('Shipment Data'!A44="","",IF(H44&gt;G44,"COURIER OVER-ROUNDED WEIGHT","OK"))</f>
        <v/>
      </c>
      <c r="J44" s="18">
        <f>IF('Shipment Data'!A44="","",INDEX('Rate Card'!$D$4:$D$8,MATCH(B44,'Rate Card'!$A$4:$A$8,0)))</f>
        <v/>
      </c>
      <c r="K44" s="18">
        <f>IF('Shipment Data'!A44="","",ROUND((G44-INDEX('Rate Card'!$C$4:$C$8,MATCH(B44,'Rate Card'!$A$4:$A$8,0)))/0.5,0)*INDEX('Rate Card'!$E$4:$E$8,MATCH(B44,'Rate Card'!$A$4:$A$8,0)))</f>
        <v/>
      </c>
      <c r="L44" s="18">
        <f>IF('Shipment Data'!A44="","",IF(C44="COD",MAX('Shipment Data'!E44*INDEX('Rate Card'!$F$4:$F$8,MATCH(B44,'Rate Card'!$A$4:$A$8,0)),INDEX('Rate Card'!$G$4:$G$8,MATCH(B44,'Rate Card'!$A$4:$A$8,0))),0))</f>
        <v/>
      </c>
      <c r="M44" s="18">
        <f>IF('Shipment Data'!A44="","",IF(D44="RTO",(J44+K44)*INDEX('Rate Card'!$H$4:$H$8,MATCH(B44,'Rate Card'!$A$4:$A$8,0)),0))</f>
        <v/>
      </c>
      <c r="N44" s="19">
        <f>IF('Shipment Data'!A44="","",J44+K44+L44+M44)</f>
        <v/>
      </c>
      <c r="O44" s="18">
        <f>IF('Shipment Data'!A44="","",'Shipment Data'!L44)</f>
        <v/>
      </c>
      <c r="P44" s="19">
        <f>IF('Shipment Data'!A44="","",O44-N44)</f>
        <v/>
      </c>
      <c r="Q44" s="6">
        <f>IF('Shipment Data'!A44="","",IF(P44&gt;1,"OVERCHARGED",IF(P44&lt;-1,"UNDERBILLED","MATCH")))</f>
        <v/>
      </c>
    </row>
    <row r="45">
      <c r="A45" s="15">
        <f>IF('Shipment Data'!A45="","",'Shipment Data'!A45)</f>
        <v/>
      </c>
      <c r="B45" s="15">
        <f>IF('Shipment Data'!A45="","",'Shipment Data'!C45)</f>
        <v/>
      </c>
      <c r="C45" s="15">
        <f>IF('Shipment Data'!A45="","",'Shipment Data'!D45)</f>
        <v/>
      </c>
      <c r="D45" s="15">
        <f>IF('Shipment Data'!A45="","",'Shipment Data'!J45)</f>
        <v/>
      </c>
      <c r="E45" s="16">
        <f>IF('Shipment Data'!A45="","",'Shipment Data'!F45)</f>
        <v/>
      </c>
      <c r="F45" s="17">
        <f>IF('Shipment Data'!A45="","",('Shipment Data'!G45*'Shipment Data'!H45*'Shipment Data'!I45)/5000)</f>
        <v/>
      </c>
      <c r="G45" s="17">
        <f>IF('Shipment Data'!A45="","",CEILING(MAX(E45,F45),0.5))</f>
        <v/>
      </c>
      <c r="H45" s="16">
        <f>IF('Shipment Data'!A45="","",'Shipment Data'!K45)</f>
        <v/>
      </c>
      <c r="I45" s="6">
        <f>IF('Shipment Data'!A45="","",IF(H45&gt;G45,"COURIER OVER-ROUNDED WEIGHT","OK"))</f>
        <v/>
      </c>
      <c r="J45" s="18">
        <f>IF('Shipment Data'!A45="","",INDEX('Rate Card'!$D$4:$D$8,MATCH(B45,'Rate Card'!$A$4:$A$8,0)))</f>
        <v/>
      </c>
      <c r="K45" s="18">
        <f>IF('Shipment Data'!A45="","",ROUND((G45-INDEX('Rate Card'!$C$4:$C$8,MATCH(B45,'Rate Card'!$A$4:$A$8,0)))/0.5,0)*INDEX('Rate Card'!$E$4:$E$8,MATCH(B45,'Rate Card'!$A$4:$A$8,0)))</f>
        <v/>
      </c>
      <c r="L45" s="18">
        <f>IF('Shipment Data'!A45="","",IF(C45="COD",MAX('Shipment Data'!E45*INDEX('Rate Card'!$F$4:$F$8,MATCH(B45,'Rate Card'!$A$4:$A$8,0)),INDEX('Rate Card'!$G$4:$G$8,MATCH(B45,'Rate Card'!$A$4:$A$8,0))),0))</f>
        <v/>
      </c>
      <c r="M45" s="18">
        <f>IF('Shipment Data'!A45="","",IF(D45="RTO",(J45+K45)*INDEX('Rate Card'!$H$4:$H$8,MATCH(B45,'Rate Card'!$A$4:$A$8,0)),0))</f>
        <v/>
      </c>
      <c r="N45" s="19">
        <f>IF('Shipment Data'!A45="","",J45+K45+L45+M45)</f>
        <v/>
      </c>
      <c r="O45" s="18">
        <f>IF('Shipment Data'!A45="","",'Shipment Data'!L45)</f>
        <v/>
      </c>
      <c r="P45" s="19">
        <f>IF('Shipment Data'!A45="","",O45-N45)</f>
        <v/>
      </c>
      <c r="Q45" s="6">
        <f>IF('Shipment Data'!A45="","",IF(P45&gt;1,"OVERCHARGED",IF(P45&lt;-1,"UNDERBILLED","MATCH")))</f>
        <v/>
      </c>
    </row>
    <row r="46">
      <c r="A46" s="15">
        <f>IF('Shipment Data'!A46="","",'Shipment Data'!A46)</f>
        <v/>
      </c>
      <c r="B46" s="15">
        <f>IF('Shipment Data'!A46="","",'Shipment Data'!C46)</f>
        <v/>
      </c>
      <c r="C46" s="15">
        <f>IF('Shipment Data'!A46="","",'Shipment Data'!D46)</f>
        <v/>
      </c>
      <c r="D46" s="15">
        <f>IF('Shipment Data'!A46="","",'Shipment Data'!J46)</f>
        <v/>
      </c>
      <c r="E46" s="16">
        <f>IF('Shipment Data'!A46="","",'Shipment Data'!F46)</f>
        <v/>
      </c>
      <c r="F46" s="17">
        <f>IF('Shipment Data'!A46="","",('Shipment Data'!G46*'Shipment Data'!H46*'Shipment Data'!I46)/5000)</f>
        <v/>
      </c>
      <c r="G46" s="17">
        <f>IF('Shipment Data'!A46="","",CEILING(MAX(E46,F46),0.5))</f>
        <v/>
      </c>
      <c r="H46" s="16">
        <f>IF('Shipment Data'!A46="","",'Shipment Data'!K46)</f>
        <v/>
      </c>
      <c r="I46" s="6">
        <f>IF('Shipment Data'!A46="","",IF(H46&gt;G46,"COURIER OVER-ROUNDED WEIGHT","OK"))</f>
        <v/>
      </c>
      <c r="J46" s="18">
        <f>IF('Shipment Data'!A46="","",INDEX('Rate Card'!$D$4:$D$8,MATCH(B46,'Rate Card'!$A$4:$A$8,0)))</f>
        <v/>
      </c>
      <c r="K46" s="18">
        <f>IF('Shipment Data'!A46="","",ROUND((G46-INDEX('Rate Card'!$C$4:$C$8,MATCH(B46,'Rate Card'!$A$4:$A$8,0)))/0.5,0)*INDEX('Rate Card'!$E$4:$E$8,MATCH(B46,'Rate Card'!$A$4:$A$8,0)))</f>
        <v/>
      </c>
      <c r="L46" s="18">
        <f>IF('Shipment Data'!A46="","",IF(C46="COD",MAX('Shipment Data'!E46*INDEX('Rate Card'!$F$4:$F$8,MATCH(B46,'Rate Card'!$A$4:$A$8,0)),INDEX('Rate Card'!$G$4:$G$8,MATCH(B46,'Rate Card'!$A$4:$A$8,0))),0))</f>
        <v/>
      </c>
      <c r="M46" s="18">
        <f>IF('Shipment Data'!A46="","",IF(D46="RTO",(J46+K46)*INDEX('Rate Card'!$H$4:$H$8,MATCH(B46,'Rate Card'!$A$4:$A$8,0)),0))</f>
        <v/>
      </c>
      <c r="N46" s="19">
        <f>IF('Shipment Data'!A46="","",J46+K46+L46+M46)</f>
        <v/>
      </c>
      <c r="O46" s="18">
        <f>IF('Shipment Data'!A46="","",'Shipment Data'!L46)</f>
        <v/>
      </c>
      <c r="P46" s="19">
        <f>IF('Shipment Data'!A46="","",O46-N46)</f>
        <v/>
      </c>
      <c r="Q46" s="6">
        <f>IF('Shipment Data'!A46="","",IF(P46&gt;1,"OVERCHARGED",IF(P46&lt;-1,"UNDERBILLED","MATCH")))</f>
        <v/>
      </c>
    </row>
    <row r="47">
      <c r="A47" s="15">
        <f>IF('Shipment Data'!A47="","",'Shipment Data'!A47)</f>
        <v/>
      </c>
      <c r="B47" s="15">
        <f>IF('Shipment Data'!A47="","",'Shipment Data'!C47)</f>
        <v/>
      </c>
      <c r="C47" s="15">
        <f>IF('Shipment Data'!A47="","",'Shipment Data'!D47)</f>
        <v/>
      </c>
      <c r="D47" s="15">
        <f>IF('Shipment Data'!A47="","",'Shipment Data'!J47)</f>
        <v/>
      </c>
      <c r="E47" s="16">
        <f>IF('Shipment Data'!A47="","",'Shipment Data'!F47)</f>
        <v/>
      </c>
      <c r="F47" s="17">
        <f>IF('Shipment Data'!A47="","",('Shipment Data'!G47*'Shipment Data'!H47*'Shipment Data'!I47)/5000)</f>
        <v/>
      </c>
      <c r="G47" s="17">
        <f>IF('Shipment Data'!A47="","",CEILING(MAX(E47,F47),0.5))</f>
        <v/>
      </c>
      <c r="H47" s="16">
        <f>IF('Shipment Data'!A47="","",'Shipment Data'!K47)</f>
        <v/>
      </c>
      <c r="I47" s="6">
        <f>IF('Shipment Data'!A47="","",IF(H47&gt;G47,"COURIER OVER-ROUNDED WEIGHT","OK"))</f>
        <v/>
      </c>
      <c r="J47" s="18">
        <f>IF('Shipment Data'!A47="","",INDEX('Rate Card'!$D$4:$D$8,MATCH(B47,'Rate Card'!$A$4:$A$8,0)))</f>
        <v/>
      </c>
      <c r="K47" s="18">
        <f>IF('Shipment Data'!A47="","",ROUND((G47-INDEX('Rate Card'!$C$4:$C$8,MATCH(B47,'Rate Card'!$A$4:$A$8,0)))/0.5,0)*INDEX('Rate Card'!$E$4:$E$8,MATCH(B47,'Rate Card'!$A$4:$A$8,0)))</f>
        <v/>
      </c>
      <c r="L47" s="18">
        <f>IF('Shipment Data'!A47="","",IF(C47="COD",MAX('Shipment Data'!E47*INDEX('Rate Card'!$F$4:$F$8,MATCH(B47,'Rate Card'!$A$4:$A$8,0)),INDEX('Rate Card'!$G$4:$G$8,MATCH(B47,'Rate Card'!$A$4:$A$8,0))),0))</f>
        <v/>
      </c>
      <c r="M47" s="18">
        <f>IF('Shipment Data'!A47="","",IF(D47="RTO",(J47+K47)*INDEX('Rate Card'!$H$4:$H$8,MATCH(B47,'Rate Card'!$A$4:$A$8,0)),0))</f>
        <v/>
      </c>
      <c r="N47" s="19">
        <f>IF('Shipment Data'!A47="","",J47+K47+L47+M47)</f>
        <v/>
      </c>
      <c r="O47" s="18">
        <f>IF('Shipment Data'!A47="","",'Shipment Data'!L47)</f>
        <v/>
      </c>
      <c r="P47" s="19">
        <f>IF('Shipment Data'!A47="","",O47-N47)</f>
        <v/>
      </c>
      <c r="Q47" s="6">
        <f>IF('Shipment Data'!A47="","",IF(P47&gt;1,"OVERCHARGED",IF(P47&lt;-1,"UNDERBILLED","MATCH")))</f>
        <v/>
      </c>
    </row>
    <row r="48">
      <c r="A48" s="15">
        <f>IF('Shipment Data'!A48="","",'Shipment Data'!A48)</f>
        <v/>
      </c>
      <c r="B48" s="15">
        <f>IF('Shipment Data'!A48="","",'Shipment Data'!C48)</f>
        <v/>
      </c>
      <c r="C48" s="15">
        <f>IF('Shipment Data'!A48="","",'Shipment Data'!D48)</f>
        <v/>
      </c>
      <c r="D48" s="15">
        <f>IF('Shipment Data'!A48="","",'Shipment Data'!J48)</f>
        <v/>
      </c>
      <c r="E48" s="16">
        <f>IF('Shipment Data'!A48="","",'Shipment Data'!F48)</f>
        <v/>
      </c>
      <c r="F48" s="17">
        <f>IF('Shipment Data'!A48="","",('Shipment Data'!G48*'Shipment Data'!H48*'Shipment Data'!I48)/5000)</f>
        <v/>
      </c>
      <c r="G48" s="17">
        <f>IF('Shipment Data'!A48="","",CEILING(MAX(E48,F48),0.5))</f>
        <v/>
      </c>
      <c r="H48" s="16">
        <f>IF('Shipment Data'!A48="","",'Shipment Data'!K48)</f>
        <v/>
      </c>
      <c r="I48" s="6">
        <f>IF('Shipment Data'!A48="","",IF(H48&gt;G48,"COURIER OVER-ROUNDED WEIGHT","OK"))</f>
        <v/>
      </c>
      <c r="J48" s="18">
        <f>IF('Shipment Data'!A48="","",INDEX('Rate Card'!$D$4:$D$8,MATCH(B48,'Rate Card'!$A$4:$A$8,0)))</f>
        <v/>
      </c>
      <c r="K48" s="18">
        <f>IF('Shipment Data'!A48="","",ROUND((G48-INDEX('Rate Card'!$C$4:$C$8,MATCH(B48,'Rate Card'!$A$4:$A$8,0)))/0.5,0)*INDEX('Rate Card'!$E$4:$E$8,MATCH(B48,'Rate Card'!$A$4:$A$8,0)))</f>
        <v/>
      </c>
      <c r="L48" s="18">
        <f>IF('Shipment Data'!A48="","",IF(C48="COD",MAX('Shipment Data'!E48*INDEX('Rate Card'!$F$4:$F$8,MATCH(B48,'Rate Card'!$A$4:$A$8,0)),INDEX('Rate Card'!$G$4:$G$8,MATCH(B48,'Rate Card'!$A$4:$A$8,0))),0))</f>
        <v/>
      </c>
      <c r="M48" s="18">
        <f>IF('Shipment Data'!A48="","",IF(D48="RTO",(J48+K48)*INDEX('Rate Card'!$H$4:$H$8,MATCH(B48,'Rate Card'!$A$4:$A$8,0)),0))</f>
        <v/>
      </c>
      <c r="N48" s="19">
        <f>IF('Shipment Data'!A48="","",J48+K48+L48+M48)</f>
        <v/>
      </c>
      <c r="O48" s="18">
        <f>IF('Shipment Data'!A48="","",'Shipment Data'!L48)</f>
        <v/>
      </c>
      <c r="P48" s="19">
        <f>IF('Shipment Data'!A48="","",O48-N48)</f>
        <v/>
      </c>
      <c r="Q48" s="6">
        <f>IF('Shipment Data'!A48="","",IF(P48&gt;1,"OVERCHARGED",IF(P48&lt;-1,"UNDERBILLED","MATCH")))</f>
        <v/>
      </c>
    </row>
    <row r="49">
      <c r="A49" s="15">
        <f>IF('Shipment Data'!A49="","",'Shipment Data'!A49)</f>
        <v/>
      </c>
      <c r="B49" s="15">
        <f>IF('Shipment Data'!A49="","",'Shipment Data'!C49)</f>
        <v/>
      </c>
      <c r="C49" s="15">
        <f>IF('Shipment Data'!A49="","",'Shipment Data'!D49)</f>
        <v/>
      </c>
      <c r="D49" s="15">
        <f>IF('Shipment Data'!A49="","",'Shipment Data'!J49)</f>
        <v/>
      </c>
      <c r="E49" s="16">
        <f>IF('Shipment Data'!A49="","",'Shipment Data'!F49)</f>
        <v/>
      </c>
      <c r="F49" s="17">
        <f>IF('Shipment Data'!A49="","",('Shipment Data'!G49*'Shipment Data'!H49*'Shipment Data'!I49)/5000)</f>
        <v/>
      </c>
      <c r="G49" s="17">
        <f>IF('Shipment Data'!A49="","",CEILING(MAX(E49,F49),0.5))</f>
        <v/>
      </c>
      <c r="H49" s="16">
        <f>IF('Shipment Data'!A49="","",'Shipment Data'!K49)</f>
        <v/>
      </c>
      <c r="I49" s="6">
        <f>IF('Shipment Data'!A49="","",IF(H49&gt;G49,"COURIER OVER-ROUNDED WEIGHT","OK"))</f>
        <v/>
      </c>
      <c r="J49" s="18">
        <f>IF('Shipment Data'!A49="","",INDEX('Rate Card'!$D$4:$D$8,MATCH(B49,'Rate Card'!$A$4:$A$8,0)))</f>
        <v/>
      </c>
      <c r="K49" s="18">
        <f>IF('Shipment Data'!A49="","",ROUND((G49-INDEX('Rate Card'!$C$4:$C$8,MATCH(B49,'Rate Card'!$A$4:$A$8,0)))/0.5,0)*INDEX('Rate Card'!$E$4:$E$8,MATCH(B49,'Rate Card'!$A$4:$A$8,0)))</f>
        <v/>
      </c>
      <c r="L49" s="18">
        <f>IF('Shipment Data'!A49="","",IF(C49="COD",MAX('Shipment Data'!E49*INDEX('Rate Card'!$F$4:$F$8,MATCH(B49,'Rate Card'!$A$4:$A$8,0)),INDEX('Rate Card'!$G$4:$G$8,MATCH(B49,'Rate Card'!$A$4:$A$8,0))),0))</f>
        <v/>
      </c>
      <c r="M49" s="18">
        <f>IF('Shipment Data'!A49="","",IF(D49="RTO",(J49+K49)*INDEX('Rate Card'!$H$4:$H$8,MATCH(B49,'Rate Card'!$A$4:$A$8,0)),0))</f>
        <v/>
      </c>
      <c r="N49" s="19">
        <f>IF('Shipment Data'!A49="","",J49+K49+L49+M49)</f>
        <v/>
      </c>
      <c r="O49" s="18">
        <f>IF('Shipment Data'!A49="","",'Shipment Data'!L49)</f>
        <v/>
      </c>
      <c r="P49" s="19">
        <f>IF('Shipment Data'!A49="","",O49-N49)</f>
        <v/>
      </c>
      <c r="Q49" s="6">
        <f>IF('Shipment Data'!A49="","",IF(P49&gt;1,"OVERCHARGED",IF(P49&lt;-1,"UNDERBILLED","MATCH")))</f>
        <v/>
      </c>
    </row>
    <row r="50">
      <c r="A50" s="15">
        <f>IF('Shipment Data'!A50="","",'Shipment Data'!A50)</f>
        <v/>
      </c>
      <c r="B50" s="15">
        <f>IF('Shipment Data'!A50="","",'Shipment Data'!C50)</f>
        <v/>
      </c>
      <c r="C50" s="15">
        <f>IF('Shipment Data'!A50="","",'Shipment Data'!D50)</f>
        <v/>
      </c>
      <c r="D50" s="15">
        <f>IF('Shipment Data'!A50="","",'Shipment Data'!J50)</f>
        <v/>
      </c>
      <c r="E50" s="16">
        <f>IF('Shipment Data'!A50="","",'Shipment Data'!F50)</f>
        <v/>
      </c>
      <c r="F50" s="17">
        <f>IF('Shipment Data'!A50="","",('Shipment Data'!G50*'Shipment Data'!H50*'Shipment Data'!I50)/5000)</f>
        <v/>
      </c>
      <c r="G50" s="17">
        <f>IF('Shipment Data'!A50="","",CEILING(MAX(E50,F50),0.5))</f>
        <v/>
      </c>
      <c r="H50" s="16">
        <f>IF('Shipment Data'!A50="","",'Shipment Data'!K50)</f>
        <v/>
      </c>
      <c r="I50" s="6">
        <f>IF('Shipment Data'!A50="","",IF(H50&gt;G50,"COURIER OVER-ROUNDED WEIGHT","OK"))</f>
        <v/>
      </c>
      <c r="J50" s="18">
        <f>IF('Shipment Data'!A50="","",INDEX('Rate Card'!$D$4:$D$8,MATCH(B50,'Rate Card'!$A$4:$A$8,0)))</f>
        <v/>
      </c>
      <c r="K50" s="18">
        <f>IF('Shipment Data'!A50="","",ROUND((G50-INDEX('Rate Card'!$C$4:$C$8,MATCH(B50,'Rate Card'!$A$4:$A$8,0)))/0.5,0)*INDEX('Rate Card'!$E$4:$E$8,MATCH(B50,'Rate Card'!$A$4:$A$8,0)))</f>
        <v/>
      </c>
      <c r="L50" s="18">
        <f>IF('Shipment Data'!A50="","",IF(C50="COD",MAX('Shipment Data'!E50*INDEX('Rate Card'!$F$4:$F$8,MATCH(B50,'Rate Card'!$A$4:$A$8,0)),INDEX('Rate Card'!$G$4:$G$8,MATCH(B50,'Rate Card'!$A$4:$A$8,0))),0))</f>
        <v/>
      </c>
      <c r="M50" s="18">
        <f>IF('Shipment Data'!A50="","",IF(D50="RTO",(J50+K50)*INDEX('Rate Card'!$H$4:$H$8,MATCH(B50,'Rate Card'!$A$4:$A$8,0)),0))</f>
        <v/>
      </c>
      <c r="N50" s="19">
        <f>IF('Shipment Data'!A50="","",J50+K50+L50+M50)</f>
        <v/>
      </c>
      <c r="O50" s="18">
        <f>IF('Shipment Data'!A50="","",'Shipment Data'!L50)</f>
        <v/>
      </c>
      <c r="P50" s="19">
        <f>IF('Shipment Data'!A50="","",O50-N50)</f>
        <v/>
      </c>
      <c r="Q50" s="6">
        <f>IF('Shipment Data'!A50="","",IF(P50&gt;1,"OVERCHARGED",IF(P50&lt;-1,"UNDERBILLED","MATCH")))</f>
        <v/>
      </c>
    </row>
    <row r="51">
      <c r="A51" s="15">
        <f>IF('Shipment Data'!A51="","",'Shipment Data'!A51)</f>
        <v/>
      </c>
      <c r="B51" s="15">
        <f>IF('Shipment Data'!A51="","",'Shipment Data'!C51)</f>
        <v/>
      </c>
      <c r="C51" s="15">
        <f>IF('Shipment Data'!A51="","",'Shipment Data'!D51)</f>
        <v/>
      </c>
      <c r="D51" s="15">
        <f>IF('Shipment Data'!A51="","",'Shipment Data'!J51)</f>
        <v/>
      </c>
      <c r="E51" s="16">
        <f>IF('Shipment Data'!A51="","",'Shipment Data'!F51)</f>
        <v/>
      </c>
      <c r="F51" s="17">
        <f>IF('Shipment Data'!A51="","",('Shipment Data'!G51*'Shipment Data'!H51*'Shipment Data'!I51)/5000)</f>
        <v/>
      </c>
      <c r="G51" s="17">
        <f>IF('Shipment Data'!A51="","",CEILING(MAX(E51,F51),0.5))</f>
        <v/>
      </c>
      <c r="H51" s="16">
        <f>IF('Shipment Data'!A51="","",'Shipment Data'!K51)</f>
        <v/>
      </c>
      <c r="I51" s="6">
        <f>IF('Shipment Data'!A51="","",IF(H51&gt;G51,"COURIER OVER-ROUNDED WEIGHT","OK"))</f>
        <v/>
      </c>
      <c r="J51" s="18">
        <f>IF('Shipment Data'!A51="","",INDEX('Rate Card'!$D$4:$D$8,MATCH(B51,'Rate Card'!$A$4:$A$8,0)))</f>
        <v/>
      </c>
      <c r="K51" s="18">
        <f>IF('Shipment Data'!A51="","",ROUND((G51-INDEX('Rate Card'!$C$4:$C$8,MATCH(B51,'Rate Card'!$A$4:$A$8,0)))/0.5,0)*INDEX('Rate Card'!$E$4:$E$8,MATCH(B51,'Rate Card'!$A$4:$A$8,0)))</f>
        <v/>
      </c>
      <c r="L51" s="18">
        <f>IF('Shipment Data'!A51="","",IF(C51="COD",MAX('Shipment Data'!E51*INDEX('Rate Card'!$F$4:$F$8,MATCH(B51,'Rate Card'!$A$4:$A$8,0)),INDEX('Rate Card'!$G$4:$G$8,MATCH(B51,'Rate Card'!$A$4:$A$8,0))),0))</f>
        <v/>
      </c>
      <c r="M51" s="18">
        <f>IF('Shipment Data'!A51="","",IF(D51="RTO",(J51+K51)*INDEX('Rate Card'!$H$4:$H$8,MATCH(B51,'Rate Card'!$A$4:$A$8,0)),0))</f>
        <v/>
      </c>
      <c r="N51" s="19">
        <f>IF('Shipment Data'!A51="","",J51+K51+L51+M51)</f>
        <v/>
      </c>
      <c r="O51" s="18">
        <f>IF('Shipment Data'!A51="","",'Shipment Data'!L51)</f>
        <v/>
      </c>
      <c r="P51" s="19">
        <f>IF('Shipment Data'!A51="","",O51-N51)</f>
        <v/>
      </c>
      <c r="Q51" s="6">
        <f>IF('Shipment Data'!A51="","",IF(P51&gt;1,"OVERCHARGED",IF(P51&lt;-1,"UNDERBILLED","MATCH")))</f>
        <v/>
      </c>
    </row>
    <row r="52">
      <c r="A52" s="15">
        <f>IF('Shipment Data'!A52="","",'Shipment Data'!A52)</f>
        <v/>
      </c>
      <c r="B52" s="15">
        <f>IF('Shipment Data'!A52="","",'Shipment Data'!C52)</f>
        <v/>
      </c>
      <c r="C52" s="15">
        <f>IF('Shipment Data'!A52="","",'Shipment Data'!D52)</f>
        <v/>
      </c>
      <c r="D52" s="15">
        <f>IF('Shipment Data'!A52="","",'Shipment Data'!J52)</f>
        <v/>
      </c>
      <c r="E52" s="16">
        <f>IF('Shipment Data'!A52="","",'Shipment Data'!F52)</f>
        <v/>
      </c>
      <c r="F52" s="17">
        <f>IF('Shipment Data'!A52="","",('Shipment Data'!G52*'Shipment Data'!H52*'Shipment Data'!I52)/5000)</f>
        <v/>
      </c>
      <c r="G52" s="17">
        <f>IF('Shipment Data'!A52="","",CEILING(MAX(E52,F52),0.5))</f>
        <v/>
      </c>
      <c r="H52" s="16">
        <f>IF('Shipment Data'!A52="","",'Shipment Data'!K52)</f>
        <v/>
      </c>
      <c r="I52" s="6">
        <f>IF('Shipment Data'!A52="","",IF(H52&gt;G52,"COURIER OVER-ROUNDED WEIGHT","OK"))</f>
        <v/>
      </c>
      <c r="J52" s="18">
        <f>IF('Shipment Data'!A52="","",INDEX('Rate Card'!$D$4:$D$8,MATCH(B52,'Rate Card'!$A$4:$A$8,0)))</f>
        <v/>
      </c>
      <c r="K52" s="18">
        <f>IF('Shipment Data'!A52="","",ROUND((G52-INDEX('Rate Card'!$C$4:$C$8,MATCH(B52,'Rate Card'!$A$4:$A$8,0)))/0.5,0)*INDEX('Rate Card'!$E$4:$E$8,MATCH(B52,'Rate Card'!$A$4:$A$8,0)))</f>
        <v/>
      </c>
      <c r="L52" s="18">
        <f>IF('Shipment Data'!A52="","",IF(C52="COD",MAX('Shipment Data'!E52*INDEX('Rate Card'!$F$4:$F$8,MATCH(B52,'Rate Card'!$A$4:$A$8,0)),INDEX('Rate Card'!$G$4:$G$8,MATCH(B52,'Rate Card'!$A$4:$A$8,0))),0))</f>
        <v/>
      </c>
      <c r="M52" s="18">
        <f>IF('Shipment Data'!A52="","",IF(D52="RTO",(J52+K52)*INDEX('Rate Card'!$H$4:$H$8,MATCH(B52,'Rate Card'!$A$4:$A$8,0)),0))</f>
        <v/>
      </c>
      <c r="N52" s="19">
        <f>IF('Shipment Data'!A52="","",J52+K52+L52+M52)</f>
        <v/>
      </c>
      <c r="O52" s="18">
        <f>IF('Shipment Data'!A52="","",'Shipment Data'!L52)</f>
        <v/>
      </c>
      <c r="P52" s="19">
        <f>IF('Shipment Data'!A52="","",O52-N52)</f>
        <v/>
      </c>
      <c r="Q52" s="6">
        <f>IF('Shipment Data'!A52="","",IF(P52&gt;1,"OVERCHARGED",IF(P52&lt;-1,"UNDERBILLED","MATCH")))</f>
        <v/>
      </c>
    </row>
    <row r="53">
      <c r="A53" s="15">
        <f>IF('Shipment Data'!A53="","",'Shipment Data'!A53)</f>
        <v/>
      </c>
      <c r="B53" s="15">
        <f>IF('Shipment Data'!A53="","",'Shipment Data'!C53)</f>
        <v/>
      </c>
      <c r="C53" s="15">
        <f>IF('Shipment Data'!A53="","",'Shipment Data'!D53)</f>
        <v/>
      </c>
      <c r="D53" s="15">
        <f>IF('Shipment Data'!A53="","",'Shipment Data'!J53)</f>
        <v/>
      </c>
      <c r="E53" s="16">
        <f>IF('Shipment Data'!A53="","",'Shipment Data'!F53)</f>
        <v/>
      </c>
      <c r="F53" s="17">
        <f>IF('Shipment Data'!A53="","",('Shipment Data'!G53*'Shipment Data'!H53*'Shipment Data'!I53)/5000)</f>
        <v/>
      </c>
      <c r="G53" s="17">
        <f>IF('Shipment Data'!A53="","",CEILING(MAX(E53,F53),0.5))</f>
        <v/>
      </c>
      <c r="H53" s="16">
        <f>IF('Shipment Data'!A53="","",'Shipment Data'!K53)</f>
        <v/>
      </c>
      <c r="I53" s="6">
        <f>IF('Shipment Data'!A53="","",IF(H53&gt;G53,"COURIER OVER-ROUNDED WEIGHT","OK"))</f>
        <v/>
      </c>
      <c r="J53" s="18">
        <f>IF('Shipment Data'!A53="","",INDEX('Rate Card'!$D$4:$D$8,MATCH(B53,'Rate Card'!$A$4:$A$8,0)))</f>
        <v/>
      </c>
      <c r="K53" s="18">
        <f>IF('Shipment Data'!A53="","",ROUND((G53-INDEX('Rate Card'!$C$4:$C$8,MATCH(B53,'Rate Card'!$A$4:$A$8,0)))/0.5,0)*INDEX('Rate Card'!$E$4:$E$8,MATCH(B53,'Rate Card'!$A$4:$A$8,0)))</f>
        <v/>
      </c>
      <c r="L53" s="18">
        <f>IF('Shipment Data'!A53="","",IF(C53="COD",MAX('Shipment Data'!E53*INDEX('Rate Card'!$F$4:$F$8,MATCH(B53,'Rate Card'!$A$4:$A$8,0)),INDEX('Rate Card'!$G$4:$G$8,MATCH(B53,'Rate Card'!$A$4:$A$8,0))),0))</f>
        <v/>
      </c>
      <c r="M53" s="18">
        <f>IF('Shipment Data'!A53="","",IF(D53="RTO",(J53+K53)*INDEX('Rate Card'!$H$4:$H$8,MATCH(B53,'Rate Card'!$A$4:$A$8,0)),0))</f>
        <v/>
      </c>
      <c r="N53" s="19">
        <f>IF('Shipment Data'!A53="","",J53+K53+L53+M53)</f>
        <v/>
      </c>
      <c r="O53" s="18">
        <f>IF('Shipment Data'!A53="","",'Shipment Data'!L53)</f>
        <v/>
      </c>
      <c r="P53" s="19">
        <f>IF('Shipment Data'!A53="","",O53-N53)</f>
        <v/>
      </c>
      <c r="Q53" s="6">
        <f>IF('Shipment Data'!A53="","",IF(P53&gt;1,"OVERCHARGED",IF(P53&lt;-1,"UNDERBILLED","MATCH")))</f>
        <v/>
      </c>
    </row>
    <row r="54">
      <c r="A54" s="15">
        <f>IF('Shipment Data'!A54="","",'Shipment Data'!A54)</f>
        <v/>
      </c>
      <c r="B54" s="15">
        <f>IF('Shipment Data'!A54="","",'Shipment Data'!C54)</f>
        <v/>
      </c>
      <c r="C54" s="15">
        <f>IF('Shipment Data'!A54="","",'Shipment Data'!D54)</f>
        <v/>
      </c>
      <c r="D54" s="15">
        <f>IF('Shipment Data'!A54="","",'Shipment Data'!J54)</f>
        <v/>
      </c>
      <c r="E54" s="16">
        <f>IF('Shipment Data'!A54="","",'Shipment Data'!F54)</f>
        <v/>
      </c>
      <c r="F54" s="17">
        <f>IF('Shipment Data'!A54="","",('Shipment Data'!G54*'Shipment Data'!H54*'Shipment Data'!I54)/5000)</f>
        <v/>
      </c>
      <c r="G54" s="17">
        <f>IF('Shipment Data'!A54="","",CEILING(MAX(E54,F54),0.5))</f>
        <v/>
      </c>
      <c r="H54" s="16">
        <f>IF('Shipment Data'!A54="","",'Shipment Data'!K54)</f>
        <v/>
      </c>
      <c r="I54" s="6">
        <f>IF('Shipment Data'!A54="","",IF(H54&gt;G54,"COURIER OVER-ROUNDED WEIGHT","OK"))</f>
        <v/>
      </c>
      <c r="J54" s="18">
        <f>IF('Shipment Data'!A54="","",INDEX('Rate Card'!$D$4:$D$8,MATCH(B54,'Rate Card'!$A$4:$A$8,0)))</f>
        <v/>
      </c>
      <c r="K54" s="18">
        <f>IF('Shipment Data'!A54="","",ROUND((G54-INDEX('Rate Card'!$C$4:$C$8,MATCH(B54,'Rate Card'!$A$4:$A$8,0)))/0.5,0)*INDEX('Rate Card'!$E$4:$E$8,MATCH(B54,'Rate Card'!$A$4:$A$8,0)))</f>
        <v/>
      </c>
      <c r="L54" s="18">
        <f>IF('Shipment Data'!A54="","",IF(C54="COD",MAX('Shipment Data'!E54*INDEX('Rate Card'!$F$4:$F$8,MATCH(B54,'Rate Card'!$A$4:$A$8,0)),INDEX('Rate Card'!$G$4:$G$8,MATCH(B54,'Rate Card'!$A$4:$A$8,0))),0))</f>
        <v/>
      </c>
      <c r="M54" s="18">
        <f>IF('Shipment Data'!A54="","",IF(D54="RTO",(J54+K54)*INDEX('Rate Card'!$H$4:$H$8,MATCH(B54,'Rate Card'!$A$4:$A$8,0)),0))</f>
        <v/>
      </c>
      <c r="N54" s="19">
        <f>IF('Shipment Data'!A54="","",J54+K54+L54+M54)</f>
        <v/>
      </c>
      <c r="O54" s="18">
        <f>IF('Shipment Data'!A54="","",'Shipment Data'!L54)</f>
        <v/>
      </c>
      <c r="P54" s="19">
        <f>IF('Shipment Data'!A54="","",O54-N54)</f>
        <v/>
      </c>
      <c r="Q54" s="6">
        <f>IF('Shipment Data'!A54="","",IF(P54&gt;1,"OVERCHARGED",IF(P54&lt;-1,"UNDERBILLED","MATCH")))</f>
        <v/>
      </c>
    </row>
    <row r="55">
      <c r="A55" s="15">
        <f>IF('Shipment Data'!A55="","",'Shipment Data'!A55)</f>
        <v/>
      </c>
      <c r="B55" s="15">
        <f>IF('Shipment Data'!A55="","",'Shipment Data'!C55)</f>
        <v/>
      </c>
      <c r="C55" s="15">
        <f>IF('Shipment Data'!A55="","",'Shipment Data'!D55)</f>
        <v/>
      </c>
      <c r="D55" s="15">
        <f>IF('Shipment Data'!A55="","",'Shipment Data'!J55)</f>
        <v/>
      </c>
      <c r="E55" s="16">
        <f>IF('Shipment Data'!A55="","",'Shipment Data'!F55)</f>
        <v/>
      </c>
      <c r="F55" s="17">
        <f>IF('Shipment Data'!A55="","",('Shipment Data'!G55*'Shipment Data'!H55*'Shipment Data'!I55)/5000)</f>
        <v/>
      </c>
      <c r="G55" s="17">
        <f>IF('Shipment Data'!A55="","",CEILING(MAX(E55,F55),0.5))</f>
        <v/>
      </c>
      <c r="H55" s="16">
        <f>IF('Shipment Data'!A55="","",'Shipment Data'!K55)</f>
        <v/>
      </c>
      <c r="I55" s="6">
        <f>IF('Shipment Data'!A55="","",IF(H55&gt;G55,"COURIER OVER-ROUNDED WEIGHT","OK"))</f>
        <v/>
      </c>
      <c r="J55" s="18">
        <f>IF('Shipment Data'!A55="","",INDEX('Rate Card'!$D$4:$D$8,MATCH(B55,'Rate Card'!$A$4:$A$8,0)))</f>
        <v/>
      </c>
      <c r="K55" s="18">
        <f>IF('Shipment Data'!A55="","",ROUND((G55-INDEX('Rate Card'!$C$4:$C$8,MATCH(B55,'Rate Card'!$A$4:$A$8,0)))/0.5,0)*INDEX('Rate Card'!$E$4:$E$8,MATCH(B55,'Rate Card'!$A$4:$A$8,0)))</f>
        <v/>
      </c>
      <c r="L55" s="18">
        <f>IF('Shipment Data'!A55="","",IF(C55="COD",MAX('Shipment Data'!E55*INDEX('Rate Card'!$F$4:$F$8,MATCH(B55,'Rate Card'!$A$4:$A$8,0)),INDEX('Rate Card'!$G$4:$G$8,MATCH(B55,'Rate Card'!$A$4:$A$8,0))),0))</f>
        <v/>
      </c>
      <c r="M55" s="18">
        <f>IF('Shipment Data'!A55="","",IF(D55="RTO",(J55+K55)*INDEX('Rate Card'!$H$4:$H$8,MATCH(B55,'Rate Card'!$A$4:$A$8,0)),0))</f>
        <v/>
      </c>
      <c r="N55" s="19">
        <f>IF('Shipment Data'!A55="","",J55+K55+L55+M55)</f>
        <v/>
      </c>
      <c r="O55" s="18">
        <f>IF('Shipment Data'!A55="","",'Shipment Data'!L55)</f>
        <v/>
      </c>
      <c r="P55" s="19">
        <f>IF('Shipment Data'!A55="","",O55-N55)</f>
        <v/>
      </c>
      <c r="Q55" s="6">
        <f>IF('Shipment Data'!A55="","",IF(P55&gt;1,"OVERCHARGED",IF(P55&lt;-1,"UNDERBILLED","MATCH")))</f>
        <v/>
      </c>
    </row>
    <row r="56">
      <c r="A56" s="15">
        <f>IF('Shipment Data'!A56="","",'Shipment Data'!A56)</f>
        <v/>
      </c>
      <c r="B56" s="15">
        <f>IF('Shipment Data'!A56="","",'Shipment Data'!C56)</f>
        <v/>
      </c>
      <c r="C56" s="15">
        <f>IF('Shipment Data'!A56="","",'Shipment Data'!D56)</f>
        <v/>
      </c>
      <c r="D56" s="15">
        <f>IF('Shipment Data'!A56="","",'Shipment Data'!J56)</f>
        <v/>
      </c>
      <c r="E56" s="16">
        <f>IF('Shipment Data'!A56="","",'Shipment Data'!F56)</f>
        <v/>
      </c>
      <c r="F56" s="17">
        <f>IF('Shipment Data'!A56="","",('Shipment Data'!G56*'Shipment Data'!H56*'Shipment Data'!I56)/5000)</f>
        <v/>
      </c>
      <c r="G56" s="17">
        <f>IF('Shipment Data'!A56="","",CEILING(MAX(E56,F56),0.5))</f>
        <v/>
      </c>
      <c r="H56" s="16">
        <f>IF('Shipment Data'!A56="","",'Shipment Data'!K56)</f>
        <v/>
      </c>
      <c r="I56" s="6">
        <f>IF('Shipment Data'!A56="","",IF(H56&gt;G56,"COURIER OVER-ROUNDED WEIGHT","OK"))</f>
        <v/>
      </c>
      <c r="J56" s="18">
        <f>IF('Shipment Data'!A56="","",INDEX('Rate Card'!$D$4:$D$8,MATCH(B56,'Rate Card'!$A$4:$A$8,0)))</f>
        <v/>
      </c>
      <c r="K56" s="18">
        <f>IF('Shipment Data'!A56="","",ROUND((G56-INDEX('Rate Card'!$C$4:$C$8,MATCH(B56,'Rate Card'!$A$4:$A$8,0)))/0.5,0)*INDEX('Rate Card'!$E$4:$E$8,MATCH(B56,'Rate Card'!$A$4:$A$8,0)))</f>
        <v/>
      </c>
      <c r="L56" s="18">
        <f>IF('Shipment Data'!A56="","",IF(C56="COD",MAX('Shipment Data'!E56*INDEX('Rate Card'!$F$4:$F$8,MATCH(B56,'Rate Card'!$A$4:$A$8,0)),INDEX('Rate Card'!$G$4:$G$8,MATCH(B56,'Rate Card'!$A$4:$A$8,0))),0))</f>
        <v/>
      </c>
      <c r="M56" s="18">
        <f>IF('Shipment Data'!A56="","",IF(D56="RTO",(J56+K56)*INDEX('Rate Card'!$H$4:$H$8,MATCH(B56,'Rate Card'!$A$4:$A$8,0)),0))</f>
        <v/>
      </c>
      <c r="N56" s="19">
        <f>IF('Shipment Data'!A56="","",J56+K56+L56+M56)</f>
        <v/>
      </c>
      <c r="O56" s="18">
        <f>IF('Shipment Data'!A56="","",'Shipment Data'!L56)</f>
        <v/>
      </c>
      <c r="P56" s="19">
        <f>IF('Shipment Data'!A56="","",O56-N56)</f>
        <v/>
      </c>
      <c r="Q56" s="6">
        <f>IF('Shipment Data'!A56="","",IF(P56&gt;1,"OVERCHARGED",IF(P56&lt;-1,"UNDERBILLED","MATCH")))</f>
        <v/>
      </c>
    </row>
    <row r="57">
      <c r="A57" s="15">
        <f>IF('Shipment Data'!A57="","",'Shipment Data'!A57)</f>
        <v/>
      </c>
      <c r="B57" s="15">
        <f>IF('Shipment Data'!A57="","",'Shipment Data'!C57)</f>
        <v/>
      </c>
      <c r="C57" s="15">
        <f>IF('Shipment Data'!A57="","",'Shipment Data'!D57)</f>
        <v/>
      </c>
      <c r="D57" s="15">
        <f>IF('Shipment Data'!A57="","",'Shipment Data'!J57)</f>
        <v/>
      </c>
      <c r="E57" s="16">
        <f>IF('Shipment Data'!A57="","",'Shipment Data'!F57)</f>
        <v/>
      </c>
      <c r="F57" s="17">
        <f>IF('Shipment Data'!A57="","",('Shipment Data'!G57*'Shipment Data'!H57*'Shipment Data'!I57)/5000)</f>
        <v/>
      </c>
      <c r="G57" s="17">
        <f>IF('Shipment Data'!A57="","",CEILING(MAX(E57,F57),0.5))</f>
        <v/>
      </c>
      <c r="H57" s="16">
        <f>IF('Shipment Data'!A57="","",'Shipment Data'!K57)</f>
        <v/>
      </c>
      <c r="I57" s="6">
        <f>IF('Shipment Data'!A57="","",IF(H57&gt;G57,"COURIER OVER-ROUNDED WEIGHT","OK"))</f>
        <v/>
      </c>
      <c r="J57" s="18">
        <f>IF('Shipment Data'!A57="","",INDEX('Rate Card'!$D$4:$D$8,MATCH(B57,'Rate Card'!$A$4:$A$8,0)))</f>
        <v/>
      </c>
      <c r="K57" s="18">
        <f>IF('Shipment Data'!A57="","",ROUND((G57-INDEX('Rate Card'!$C$4:$C$8,MATCH(B57,'Rate Card'!$A$4:$A$8,0)))/0.5,0)*INDEX('Rate Card'!$E$4:$E$8,MATCH(B57,'Rate Card'!$A$4:$A$8,0)))</f>
        <v/>
      </c>
      <c r="L57" s="18">
        <f>IF('Shipment Data'!A57="","",IF(C57="COD",MAX('Shipment Data'!E57*INDEX('Rate Card'!$F$4:$F$8,MATCH(B57,'Rate Card'!$A$4:$A$8,0)),INDEX('Rate Card'!$G$4:$G$8,MATCH(B57,'Rate Card'!$A$4:$A$8,0))),0))</f>
        <v/>
      </c>
      <c r="M57" s="18">
        <f>IF('Shipment Data'!A57="","",IF(D57="RTO",(J57+K57)*INDEX('Rate Card'!$H$4:$H$8,MATCH(B57,'Rate Card'!$A$4:$A$8,0)),0))</f>
        <v/>
      </c>
      <c r="N57" s="19">
        <f>IF('Shipment Data'!A57="","",J57+K57+L57+M57)</f>
        <v/>
      </c>
      <c r="O57" s="18">
        <f>IF('Shipment Data'!A57="","",'Shipment Data'!L57)</f>
        <v/>
      </c>
      <c r="P57" s="19">
        <f>IF('Shipment Data'!A57="","",O57-N57)</f>
        <v/>
      </c>
      <c r="Q57" s="6">
        <f>IF('Shipment Data'!A57="","",IF(P57&gt;1,"OVERCHARGED",IF(P57&lt;-1,"UNDERBILLED","MATCH")))</f>
        <v/>
      </c>
    </row>
    <row r="58">
      <c r="A58" s="15">
        <f>IF('Shipment Data'!A58="","",'Shipment Data'!A58)</f>
        <v/>
      </c>
      <c r="B58" s="15">
        <f>IF('Shipment Data'!A58="","",'Shipment Data'!C58)</f>
        <v/>
      </c>
      <c r="C58" s="15">
        <f>IF('Shipment Data'!A58="","",'Shipment Data'!D58)</f>
        <v/>
      </c>
      <c r="D58" s="15">
        <f>IF('Shipment Data'!A58="","",'Shipment Data'!J58)</f>
        <v/>
      </c>
      <c r="E58" s="16">
        <f>IF('Shipment Data'!A58="","",'Shipment Data'!F58)</f>
        <v/>
      </c>
      <c r="F58" s="17">
        <f>IF('Shipment Data'!A58="","",('Shipment Data'!G58*'Shipment Data'!H58*'Shipment Data'!I58)/5000)</f>
        <v/>
      </c>
      <c r="G58" s="17">
        <f>IF('Shipment Data'!A58="","",CEILING(MAX(E58,F58),0.5))</f>
        <v/>
      </c>
      <c r="H58" s="16">
        <f>IF('Shipment Data'!A58="","",'Shipment Data'!K58)</f>
        <v/>
      </c>
      <c r="I58" s="6">
        <f>IF('Shipment Data'!A58="","",IF(H58&gt;G58,"COURIER OVER-ROUNDED WEIGHT","OK"))</f>
        <v/>
      </c>
      <c r="J58" s="18">
        <f>IF('Shipment Data'!A58="","",INDEX('Rate Card'!$D$4:$D$8,MATCH(B58,'Rate Card'!$A$4:$A$8,0)))</f>
        <v/>
      </c>
      <c r="K58" s="18">
        <f>IF('Shipment Data'!A58="","",ROUND((G58-INDEX('Rate Card'!$C$4:$C$8,MATCH(B58,'Rate Card'!$A$4:$A$8,0)))/0.5,0)*INDEX('Rate Card'!$E$4:$E$8,MATCH(B58,'Rate Card'!$A$4:$A$8,0)))</f>
        <v/>
      </c>
      <c r="L58" s="18">
        <f>IF('Shipment Data'!A58="","",IF(C58="COD",MAX('Shipment Data'!E58*INDEX('Rate Card'!$F$4:$F$8,MATCH(B58,'Rate Card'!$A$4:$A$8,0)),INDEX('Rate Card'!$G$4:$G$8,MATCH(B58,'Rate Card'!$A$4:$A$8,0))),0))</f>
        <v/>
      </c>
      <c r="M58" s="18">
        <f>IF('Shipment Data'!A58="","",IF(D58="RTO",(J58+K58)*INDEX('Rate Card'!$H$4:$H$8,MATCH(B58,'Rate Card'!$A$4:$A$8,0)),0))</f>
        <v/>
      </c>
      <c r="N58" s="19">
        <f>IF('Shipment Data'!A58="","",J58+K58+L58+M58)</f>
        <v/>
      </c>
      <c r="O58" s="18">
        <f>IF('Shipment Data'!A58="","",'Shipment Data'!L58)</f>
        <v/>
      </c>
      <c r="P58" s="19">
        <f>IF('Shipment Data'!A58="","",O58-N58)</f>
        <v/>
      </c>
      <c r="Q58" s="6">
        <f>IF('Shipment Data'!A58="","",IF(P58&gt;1,"OVERCHARGED",IF(P58&lt;-1,"UNDERBILLED","MATCH")))</f>
        <v/>
      </c>
    </row>
    <row r="59">
      <c r="A59" s="15">
        <f>IF('Shipment Data'!A59="","",'Shipment Data'!A59)</f>
        <v/>
      </c>
      <c r="B59" s="15">
        <f>IF('Shipment Data'!A59="","",'Shipment Data'!C59)</f>
        <v/>
      </c>
      <c r="C59" s="15">
        <f>IF('Shipment Data'!A59="","",'Shipment Data'!D59)</f>
        <v/>
      </c>
      <c r="D59" s="15">
        <f>IF('Shipment Data'!A59="","",'Shipment Data'!J59)</f>
        <v/>
      </c>
      <c r="E59" s="16">
        <f>IF('Shipment Data'!A59="","",'Shipment Data'!F59)</f>
        <v/>
      </c>
      <c r="F59" s="17">
        <f>IF('Shipment Data'!A59="","",('Shipment Data'!G59*'Shipment Data'!H59*'Shipment Data'!I59)/5000)</f>
        <v/>
      </c>
      <c r="G59" s="17">
        <f>IF('Shipment Data'!A59="","",CEILING(MAX(E59,F59),0.5))</f>
        <v/>
      </c>
      <c r="H59" s="16">
        <f>IF('Shipment Data'!A59="","",'Shipment Data'!K59)</f>
        <v/>
      </c>
      <c r="I59" s="6">
        <f>IF('Shipment Data'!A59="","",IF(H59&gt;G59,"COURIER OVER-ROUNDED WEIGHT","OK"))</f>
        <v/>
      </c>
      <c r="J59" s="18">
        <f>IF('Shipment Data'!A59="","",INDEX('Rate Card'!$D$4:$D$8,MATCH(B59,'Rate Card'!$A$4:$A$8,0)))</f>
        <v/>
      </c>
      <c r="K59" s="18">
        <f>IF('Shipment Data'!A59="","",ROUND((G59-INDEX('Rate Card'!$C$4:$C$8,MATCH(B59,'Rate Card'!$A$4:$A$8,0)))/0.5,0)*INDEX('Rate Card'!$E$4:$E$8,MATCH(B59,'Rate Card'!$A$4:$A$8,0)))</f>
        <v/>
      </c>
      <c r="L59" s="18">
        <f>IF('Shipment Data'!A59="","",IF(C59="COD",MAX('Shipment Data'!E59*INDEX('Rate Card'!$F$4:$F$8,MATCH(B59,'Rate Card'!$A$4:$A$8,0)),INDEX('Rate Card'!$G$4:$G$8,MATCH(B59,'Rate Card'!$A$4:$A$8,0))),0))</f>
        <v/>
      </c>
      <c r="M59" s="18">
        <f>IF('Shipment Data'!A59="","",IF(D59="RTO",(J59+K59)*INDEX('Rate Card'!$H$4:$H$8,MATCH(B59,'Rate Card'!$A$4:$A$8,0)),0))</f>
        <v/>
      </c>
      <c r="N59" s="19">
        <f>IF('Shipment Data'!A59="","",J59+K59+L59+M59)</f>
        <v/>
      </c>
      <c r="O59" s="18">
        <f>IF('Shipment Data'!A59="","",'Shipment Data'!L59)</f>
        <v/>
      </c>
      <c r="P59" s="19">
        <f>IF('Shipment Data'!A59="","",O59-N59)</f>
        <v/>
      </c>
      <c r="Q59" s="6">
        <f>IF('Shipment Data'!A59="","",IF(P59&gt;1,"OVERCHARGED",IF(P59&lt;-1,"UNDERBILLED","MATCH")))</f>
        <v/>
      </c>
    </row>
    <row r="60">
      <c r="A60" s="15">
        <f>IF('Shipment Data'!A60="","",'Shipment Data'!A60)</f>
        <v/>
      </c>
      <c r="B60" s="15">
        <f>IF('Shipment Data'!A60="","",'Shipment Data'!C60)</f>
        <v/>
      </c>
      <c r="C60" s="15">
        <f>IF('Shipment Data'!A60="","",'Shipment Data'!D60)</f>
        <v/>
      </c>
      <c r="D60" s="15">
        <f>IF('Shipment Data'!A60="","",'Shipment Data'!J60)</f>
        <v/>
      </c>
      <c r="E60" s="16">
        <f>IF('Shipment Data'!A60="","",'Shipment Data'!F60)</f>
        <v/>
      </c>
      <c r="F60" s="17">
        <f>IF('Shipment Data'!A60="","",('Shipment Data'!G60*'Shipment Data'!H60*'Shipment Data'!I60)/5000)</f>
        <v/>
      </c>
      <c r="G60" s="17">
        <f>IF('Shipment Data'!A60="","",CEILING(MAX(E60,F60),0.5))</f>
        <v/>
      </c>
      <c r="H60" s="16">
        <f>IF('Shipment Data'!A60="","",'Shipment Data'!K60)</f>
        <v/>
      </c>
      <c r="I60" s="6">
        <f>IF('Shipment Data'!A60="","",IF(H60&gt;G60,"COURIER OVER-ROUNDED WEIGHT","OK"))</f>
        <v/>
      </c>
      <c r="J60" s="18">
        <f>IF('Shipment Data'!A60="","",INDEX('Rate Card'!$D$4:$D$8,MATCH(B60,'Rate Card'!$A$4:$A$8,0)))</f>
        <v/>
      </c>
      <c r="K60" s="18">
        <f>IF('Shipment Data'!A60="","",ROUND((G60-INDEX('Rate Card'!$C$4:$C$8,MATCH(B60,'Rate Card'!$A$4:$A$8,0)))/0.5,0)*INDEX('Rate Card'!$E$4:$E$8,MATCH(B60,'Rate Card'!$A$4:$A$8,0)))</f>
        <v/>
      </c>
      <c r="L60" s="18">
        <f>IF('Shipment Data'!A60="","",IF(C60="COD",MAX('Shipment Data'!E60*INDEX('Rate Card'!$F$4:$F$8,MATCH(B60,'Rate Card'!$A$4:$A$8,0)),INDEX('Rate Card'!$G$4:$G$8,MATCH(B60,'Rate Card'!$A$4:$A$8,0))),0))</f>
        <v/>
      </c>
      <c r="M60" s="18">
        <f>IF('Shipment Data'!A60="","",IF(D60="RTO",(J60+K60)*INDEX('Rate Card'!$H$4:$H$8,MATCH(B60,'Rate Card'!$A$4:$A$8,0)),0))</f>
        <v/>
      </c>
      <c r="N60" s="19">
        <f>IF('Shipment Data'!A60="","",J60+K60+L60+M60)</f>
        <v/>
      </c>
      <c r="O60" s="18">
        <f>IF('Shipment Data'!A60="","",'Shipment Data'!L60)</f>
        <v/>
      </c>
      <c r="P60" s="19">
        <f>IF('Shipment Data'!A60="","",O60-N60)</f>
        <v/>
      </c>
      <c r="Q60" s="6">
        <f>IF('Shipment Data'!A60="","",IF(P60&gt;1,"OVERCHARGED",IF(P60&lt;-1,"UNDERBILLED","MATCH")))</f>
        <v/>
      </c>
    </row>
    <row r="61">
      <c r="A61" s="15">
        <f>IF('Shipment Data'!A61="","",'Shipment Data'!A61)</f>
        <v/>
      </c>
      <c r="B61" s="15">
        <f>IF('Shipment Data'!A61="","",'Shipment Data'!C61)</f>
        <v/>
      </c>
      <c r="C61" s="15">
        <f>IF('Shipment Data'!A61="","",'Shipment Data'!D61)</f>
        <v/>
      </c>
      <c r="D61" s="15">
        <f>IF('Shipment Data'!A61="","",'Shipment Data'!J61)</f>
        <v/>
      </c>
      <c r="E61" s="16">
        <f>IF('Shipment Data'!A61="","",'Shipment Data'!F61)</f>
        <v/>
      </c>
      <c r="F61" s="17">
        <f>IF('Shipment Data'!A61="","",('Shipment Data'!G61*'Shipment Data'!H61*'Shipment Data'!I61)/5000)</f>
        <v/>
      </c>
      <c r="G61" s="17">
        <f>IF('Shipment Data'!A61="","",CEILING(MAX(E61,F61),0.5))</f>
        <v/>
      </c>
      <c r="H61" s="16">
        <f>IF('Shipment Data'!A61="","",'Shipment Data'!K61)</f>
        <v/>
      </c>
      <c r="I61" s="6">
        <f>IF('Shipment Data'!A61="","",IF(H61&gt;G61,"COURIER OVER-ROUNDED WEIGHT","OK"))</f>
        <v/>
      </c>
      <c r="J61" s="18">
        <f>IF('Shipment Data'!A61="","",INDEX('Rate Card'!$D$4:$D$8,MATCH(B61,'Rate Card'!$A$4:$A$8,0)))</f>
        <v/>
      </c>
      <c r="K61" s="18">
        <f>IF('Shipment Data'!A61="","",ROUND((G61-INDEX('Rate Card'!$C$4:$C$8,MATCH(B61,'Rate Card'!$A$4:$A$8,0)))/0.5,0)*INDEX('Rate Card'!$E$4:$E$8,MATCH(B61,'Rate Card'!$A$4:$A$8,0)))</f>
        <v/>
      </c>
      <c r="L61" s="18">
        <f>IF('Shipment Data'!A61="","",IF(C61="COD",MAX('Shipment Data'!E61*INDEX('Rate Card'!$F$4:$F$8,MATCH(B61,'Rate Card'!$A$4:$A$8,0)),INDEX('Rate Card'!$G$4:$G$8,MATCH(B61,'Rate Card'!$A$4:$A$8,0))),0))</f>
        <v/>
      </c>
      <c r="M61" s="18">
        <f>IF('Shipment Data'!A61="","",IF(D61="RTO",(J61+K61)*INDEX('Rate Card'!$H$4:$H$8,MATCH(B61,'Rate Card'!$A$4:$A$8,0)),0))</f>
        <v/>
      </c>
      <c r="N61" s="19">
        <f>IF('Shipment Data'!A61="","",J61+K61+L61+M61)</f>
        <v/>
      </c>
      <c r="O61" s="18">
        <f>IF('Shipment Data'!A61="","",'Shipment Data'!L61)</f>
        <v/>
      </c>
      <c r="P61" s="19">
        <f>IF('Shipment Data'!A61="","",O61-N61)</f>
        <v/>
      </c>
      <c r="Q61" s="6">
        <f>IF('Shipment Data'!A61="","",IF(P61&gt;1,"OVERCHARGED",IF(P61&lt;-1,"UNDERBILLED","MATCH")))</f>
        <v/>
      </c>
    </row>
    <row r="62">
      <c r="A62" s="15">
        <f>IF('Shipment Data'!A62="","",'Shipment Data'!A62)</f>
        <v/>
      </c>
      <c r="B62" s="15">
        <f>IF('Shipment Data'!A62="","",'Shipment Data'!C62)</f>
        <v/>
      </c>
      <c r="C62" s="15">
        <f>IF('Shipment Data'!A62="","",'Shipment Data'!D62)</f>
        <v/>
      </c>
      <c r="D62" s="15">
        <f>IF('Shipment Data'!A62="","",'Shipment Data'!J62)</f>
        <v/>
      </c>
      <c r="E62" s="16">
        <f>IF('Shipment Data'!A62="","",'Shipment Data'!F62)</f>
        <v/>
      </c>
      <c r="F62" s="17">
        <f>IF('Shipment Data'!A62="","",('Shipment Data'!G62*'Shipment Data'!H62*'Shipment Data'!I62)/5000)</f>
        <v/>
      </c>
      <c r="G62" s="17">
        <f>IF('Shipment Data'!A62="","",CEILING(MAX(E62,F62),0.5))</f>
        <v/>
      </c>
      <c r="H62" s="16">
        <f>IF('Shipment Data'!A62="","",'Shipment Data'!K62)</f>
        <v/>
      </c>
      <c r="I62" s="6">
        <f>IF('Shipment Data'!A62="","",IF(H62&gt;G62,"COURIER OVER-ROUNDED WEIGHT","OK"))</f>
        <v/>
      </c>
      <c r="J62" s="18">
        <f>IF('Shipment Data'!A62="","",INDEX('Rate Card'!$D$4:$D$8,MATCH(B62,'Rate Card'!$A$4:$A$8,0)))</f>
        <v/>
      </c>
      <c r="K62" s="18">
        <f>IF('Shipment Data'!A62="","",ROUND((G62-INDEX('Rate Card'!$C$4:$C$8,MATCH(B62,'Rate Card'!$A$4:$A$8,0)))/0.5,0)*INDEX('Rate Card'!$E$4:$E$8,MATCH(B62,'Rate Card'!$A$4:$A$8,0)))</f>
        <v/>
      </c>
      <c r="L62" s="18">
        <f>IF('Shipment Data'!A62="","",IF(C62="COD",MAX('Shipment Data'!E62*INDEX('Rate Card'!$F$4:$F$8,MATCH(B62,'Rate Card'!$A$4:$A$8,0)),INDEX('Rate Card'!$G$4:$G$8,MATCH(B62,'Rate Card'!$A$4:$A$8,0))),0))</f>
        <v/>
      </c>
      <c r="M62" s="18">
        <f>IF('Shipment Data'!A62="","",IF(D62="RTO",(J62+K62)*INDEX('Rate Card'!$H$4:$H$8,MATCH(B62,'Rate Card'!$A$4:$A$8,0)),0))</f>
        <v/>
      </c>
      <c r="N62" s="19">
        <f>IF('Shipment Data'!A62="","",J62+K62+L62+M62)</f>
        <v/>
      </c>
      <c r="O62" s="18">
        <f>IF('Shipment Data'!A62="","",'Shipment Data'!L62)</f>
        <v/>
      </c>
      <c r="P62" s="19">
        <f>IF('Shipment Data'!A62="","",O62-N62)</f>
        <v/>
      </c>
      <c r="Q62" s="6">
        <f>IF('Shipment Data'!A62="","",IF(P62&gt;1,"OVERCHARGED",IF(P62&lt;-1,"UNDERBILLED","MATCH")))</f>
        <v/>
      </c>
    </row>
    <row r="63">
      <c r="A63" s="15">
        <f>IF('Shipment Data'!A63="","",'Shipment Data'!A63)</f>
        <v/>
      </c>
      <c r="B63" s="15">
        <f>IF('Shipment Data'!A63="","",'Shipment Data'!C63)</f>
        <v/>
      </c>
      <c r="C63" s="15">
        <f>IF('Shipment Data'!A63="","",'Shipment Data'!D63)</f>
        <v/>
      </c>
      <c r="D63" s="15">
        <f>IF('Shipment Data'!A63="","",'Shipment Data'!J63)</f>
        <v/>
      </c>
      <c r="E63" s="16">
        <f>IF('Shipment Data'!A63="","",'Shipment Data'!F63)</f>
        <v/>
      </c>
      <c r="F63" s="17">
        <f>IF('Shipment Data'!A63="","",('Shipment Data'!G63*'Shipment Data'!H63*'Shipment Data'!I63)/5000)</f>
        <v/>
      </c>
      <c r="G63" s="17">
        <f>IF('Shipment Data'!A63="","",CEILING(MAX(E63,F63),0.5))</f>
        <v/>
      </c>
      <c r="H63" s="16">
        <f>IF('Shipment Data'!A63="","",'Shipment Data'!K63)</f>
        <v/>
      </c>
      <c r="I63" s="6">
        <f>IF('Shipment Data'!A63="","",IF(H63&gt;G63,"COURIER OVER-ROUNDED WEIGHT","OK"))</f>
        <v/>
      </c>
      <c r="J63" s="18">
        <f>IF('Shipment Data'!A63="","",INDEX('Rate Card'!$D$4:$D$8,MATCH(B63,'Rate Card'!$A$4:$A$8,0)))</f>
        <v/>
      </c>
      <c r="K63" s="18">
        <f>IF('Shipment Data'!A63="","",ROUND((G63-INDEX('Rate Card'!$C$4:$C$8,MATCH(B63,'Rate Card'!$A$4:$A$8,0)))/0.5,0)*INDEX('Rate Card'!$E$4:$E$8,MATCH(B63,'Rate Card'!$A$4:$A$8,0)))</f>
        <v/>
      </c>
      <c r="L63" s="18">
        <f>IF('Shipment Data'!A63="","",IF(C63="COD",MAX('Shipment Data'!E63*INDEX('Rate Card'!$F$4:$F$8,MATCH(B63,'Rate Card'!$A$4:$A$8,0)),INDEX('Rate Card'!$G$4:$G$8,MATCH(B63,'Rate Card'!$A$4:$A$8,0))),0))</f>
        <v/>
      </c>
      <c r="M63" s="18">
        <f>IF('Shipment Data'!A63="","",IF(D63="RTO",(J63+K63)*INDEX('Rate Card'!$H$4:$H$8,MATCH(B63,'Rate Card'!$A$4:$A$8,0)),0))</f>
        <v/>
      </c>
      <c r="N63" s="19">
        <f>IF('Shipment Data'!A63="","",J63+K63+L63+M63)</f>
        <v/>
      </c>
      <c r="O63" s="18">
        <f>IF('Shipment Data'!A63="","",'Shipment Data'!L63)</f>
        <v/>
      </c>
      <c r="P63" s="19">
        <f>IF('Shipment Data'!A63="","",O63-N63)</f>
        <v/>
      </c>
      <c r="Q63" s="6">
        <f>IF('Shipment Data'!A63="","",IF(P63&gt;1,"OVERCHARGED",IF(P63&lt;-1,"UNDERBILLED","MATCH")))</f>
        <v/>
      </c>
    </row>
    <row r="64">
      <c r="A64" s="15">
        <f>IF('Shipment Data'!A64="","",'Shipment Data'!A64)</f>
        <v/>
      </c>
      <c r="B64" s="15">
        <f>IF('Shipment Data'!A64="","",'Shipment Data'!C64)</f>
        <v/>
      </c>
      <c r="C64" s="15">
        <f>IF('Shipment Data'!A64="","",'Shipment Data'!D64)</f>
        <v/>
      </c>
      <c r="D64" s="15">
        <f>IF('Shipment Data'!A64="","",'Shipment Data'!J64)</f>
        <v/>
      </c>
      <c r="E64" s="16">
        <f>IF('Shipment Data'!A64="","",'Shipment Data'!F64)</f>
        <v/>
      </c>
      <c r="F64" s="17">
        <f>IF('Shipment Data'!A64="","",('Shipment Data'!G64*'Shipment Data'!H64*'Shipment Data'!I64)/5000)</f>
        <v/>
      </c>
      <c r="G64" s="17">
        <f>IF('Shipment Data'!A64="","",CEILING(MAX(E64,F64),0.5))</f>
        <v/>
      </c>
      <c r="H64" s="16">
        <f>IF('Shipment Data'!A64="","",'Shipment Data'!K64)</f>
        <v/>
      </c>
      <c r="I64" s="6">
        <f>IF('Shipment Data'!A64="","",IF(H64&gt;G64,"COURIER OVER-ROUNDED WEIGHT","OK"))</f>
        <v/>
      </c>
      <c r="J64" s="18">
        <f>IF('Shipment Data'!A64="","",INDEX('Rate Card'!$D$4:$D$8,MATCH(B64,'Rate Card'!$A$4:$A$8,0)))</f>
        <v/>
      </c>
      <c r="K64" s="18">
        <f>IF('Shipment Data'!A64="","",ROUND((G64-INDEX('Rate Card'!$C$4:$C$8,MATCH(B64,'Rate Card'!$A$4:$A$8,0)))/0.5,0)*INDEX('Rate Card'!$E$4:$E$8,MATCH(B64,'Rate Card'!$A$4:$A$8,0)))</f>
        <v/>
      </c>
      <c r="L64" s="18">
        <f>IF('Shipment Data'!A64="","",IF(C64="COD",MAX('Shipment Data'!E64*INDEX('Rate Card'!$F$4:$F$8,MATCH(B64,'Rate Card'!$A$4:$A$8,0)),INDEX('Rate Card'!$G$4:$G$8,MATCH(B64,'Rate Card'!$A$4:$A$8,0))),0))</f>
        <v/>
      </c>
      <c r="M64" s="18">
        <f>IF('Shipment Data'!A64="","",IF(D64="RTO",(J64+K64)*INDEX('Rate Card'!$H$4:$H$8,MATCH(B64,'Rate Card'!$A$4:$A$8,0)),0))</f>
        <v/>
      </c>
      <c r="N64" s="19">
        <f>IF('Shipment Data'!A64="","",J64+K64+L64+M64)</f>
        <v/>
      </c>
      <c r="O64" s="18">
        <f>IF('Shipment Data'!A64="","",'Shipment Data'!L64)</f>
        <v/>
      </c>
      <c r="P64" s="19">
        <f>IF('Shipment Data'!A64="","",O64-N64)</f>
        <v/>
      </c>
      <c r="Q64" s="6">
        <f>IF('Shipment Data'!A64="","",IF(P64&gt;1,"OVERCHARGED",IF(P64&lt;-1,"UNDERBILLED","MATCH")))</f>
        <v/>
      </c>
    </row>
    <row r="65">
      <c r="A65" s="15">
        <f>IF('Shipment Data'!A65="","",'Shipment Data'!A65)</f>
        <v/>
      </c>
      <c r="B65" s="15">
        <f>IF('Shipment Data'!A65="","",'Shipment Data'!C65)</f>
        <v/>
      </c>
      <c r="C65" s="15">
        <f>IF('Shipment Data'!A65="","",'Shipment Data'!D65)</f>
        <v/>
      </c>
      <c r="D65" s="15">
        <f>IF('Shipment Data'!A65="","",'Shipment Data'!J65)</f>
        <v/>
      </c>
      <c r="E65" s="16">
        <f>IF('Shipment Data'!A65="","",'Shipment Data'!F65)</f>
        <v/>
      </c>
      <c r="F65" s="17">
        <f>IF('Shipment Data'!A65="","",('Shipment Data'!G65*'Shipment Data'!H65*'Shipment Data'!I65)/5000)</f>
        <v/>
      </c>
      <c r="G65" s="17">
        <f>IF('Shipment Data'!A65="","",CEILING(MAX(E65,F65),0.5))</f>
        <v/>
      </c>
      <c r="H65" s="16">
        <f>IF('Shipment Data'!A65="","",'Shipment Data'!K65)</f>
        <v/>
      </c>
      <c r="I65" s="6">
        <f>IF('Shipment Data'!A65="","",IF(H65&gt;G65,"COURIER OVER-ROUNDED WEIGHT","OK"))</f>
        <v/>
      </c>
      <c r="J65" s="18">
        <f>IF('Shipment Data'!A65="","",INDEX('Rate Card'!$D$4:$D$8,MATCH(B65,'Rate Card'!$A$4:$A$8,0)))</f>
        <v/>
      </c>
      <c r="K65" s="18">
        <f>IF('Shipment Data'!A65="","",ROUND((G65-INDEX('Rate Card'!$C$4:$C$8,MATCH(B65,'Rate Card'!$A$4:$A$8,0)))/0.5,0)*INDEX('Rate Card'!$E$4:$E$8,MATCH(B65,'Rate Card'!$A$4:$A$8,0)))</f>
        <v/>
      </c>
      <c r="L65" s="18">
        <f>IF('Shipment Data'!A65="","",IF(C65="COD",MAX('Shipment Data'!E65*INDEX('Rate Card'!$F$4:$F$8,MATCH(B65,'Rate Card'!$A$4:$A$8,0)),INDEX('Rate Card'!$G$4:$G$8,MATCH(B65,'Rate Card'!$A$4:$A$8,0))),0))</f>
        <v/>
      </c>
      <c r="M65" s="18">
        <f>IF('Shipment Data'!A65="","",IF(D65="RTO",(J65+K65)*INDEX('Rate Card'!$H$4:$H$8,MATCH(B65,'Rate Card'!$A$4:$A$8,0)),0))</f>
        <v/>
      </c>
      <c r="N65" s="19">
        <f>IF('Shipment Data'!A65="","",J65+K65+L65+M65)</f>
        <v/>
      </c>
      <c r="O65" s="18">
        <f>IF('Shipment Data'!A65="","",'Shipment Data'!L65)</f>
        <v/>
      </c>
      <c r="P65" s="19">
        <f>IF('Shipment Data'!A65="","",O65-N65)</f>
        <v/>
      </c>
      <c r="Q65" s="6">
        <f>IF('Shipment Data'!A65="","",IF(P65&gt;1,"OVERCHARGED",IF(P65&lt;-1,"UNDERBILLED","MATCH")))</f>
        <v/>
      </c>
    </row>
    <row r="66">
      <c r="A66" s="15">
        <f>IF('Shipment Data'!A66="","",'Shipment Data'!A66)</f>
        <v/>
      </c>
      <c r="B66" s="15">
        <f>IF('Shipment Data'!A66="","",'Shipment Data'!C66)</f>
        <v/>
      </c>
      <c r="C66" s="15">
        <f>IF('Shipment Data'!A66="","",'Shipment Data'!D66)</f>
        <v/>
      </c>
      <c r="D66" s="15">
        <f>IF('Shipment Data'!A66="","",'Shipment Data'!J66)</f>
        <v/>
      </c>
      <c r="E66" s="16">
        <f>IF('Shipment Data'!A66="","",'Shipment Data'!F66)</f>
        <v/>
      </c>
      <c r="F66" s="17">
        <f>IF('Shipment Data'!A66="","",('Shipment Data'!G66*'Shipment Data'!H66*'Shipment Data'!I66)/5000)</f>
        <v/>
      </c>
      <c r="G66" s="17">
        <f>IF('Shipment Data'!A66="","",CEILING(MAX(E66,F66),0.5))</f>
        <v/>
      </c>
      <c r="H66" s="16">
        <f>IF('Shipment Data'!A66="","",'Shipment Data'!K66)</f>
        <v/>
      </c>
      <c r="I66" s="6">
        <f>IF('Shipment Data'!A66="","",IF(H66&gt;G66,"COURIER OVER-ROUNDED WEIGHT","OK"))</f>
        <v/>
      </c>
      <c r="J66" s="18">
        <f>IF('Shipment Data'!A66="","",INDEX('Rate Card'!$D$4:$D$8,MATCH(B66,'Rate Card'!$A$4:$A$8,0)))</f>
        <v/>
      </c>
      <c r="K66" s="18">
        <f>IF('Shipment Data'!A66="","",ROUND((G66-INDEX('Rate Card'!$C$4:$C$8,MATCH(B66,'Rate Card'!$A$4:$A$8,0)))/0.5,0)*INDEX('Rate Card'!$E$4:$E$8,MATCH(B66,'Rate Card'!$A$4:$A$8,0)))</f>
        <v/>
      </c>
      <c r="L66" s="18">
        <f>IF('Shipment Data'!A66="","",IF(C66="COD",MAX('Shipment Data'!E66*INDEX('Rate Card'!$F$4:$F$8,MATCH(B66,'Rate Card'!$A$4:$A$8,0)),INDEX('Rate Card'!$G$4:$G$8,MATCH(B66,'Rate Card'!$A$4:$A$8,0))),0))</f>
        <v/>
      </c>
      <c r="M66" s="18">
        <f>IF('Shipment Data'!A66="","",IF(D66="RTO",(J66+K66)*INDEX('Rate Card'!$H$4:$H$8,MATCH(B66,'Rate Card'!$A$4:$A$8,0)),0))</f>
        <v/>
      </c>
      <c r="N66" s="19">
        <f>IF('Shipment Data'!A66="","",J66+K66+L66+M66)</f>
        <v/>
      </c>
      <c r="O66" s="18">
        <f>IF('Shipment Data'!A66="","",'Shipment Data'!L66)</f>
        <v/>
      </c>
      <c r="P66" s="19">
        <f>IF('Shipment Data'!A66="","",O66-N66)</f>
        <v/>
      </c>
      <c r="Q66" s="6">
        <f>IF('Shipment Data'!A66="","",IF(P66&gt;1,"OVERCHARGED",IF(P66&lt;-1,"UNDERBILLED","MATCH")))</f>
        <v/>
      </c>
    </row>
    <row r="67">
      <c r="A67" s="15">
        <f>IF('Shipment Data'!A67="","",'Shipment Data'!A67)</f>
        <v/>
      </c>
      <c r="B67" s="15">
        <f>IF('Shipment Data'!A67="","",'Shipment Data'!C67)</f>
        <v/>
      </c>
      <c r="C67" s="15">
        <f>IF('Shipment Data'!A67="","",'Shipment Data'!D67)</f>
        <v/>
      </c>
      <c r="D67" s="15">
        <f>IF('Shipment Data'!A67="","",'Shipment Data'!J67)</f>
        <v/>
      </c>
      <c r="E67" s="16">
        <f>IF('Shipment Data'!A67="","",'Shipment Data'!F67)</f>
        <v/>
      </c>
      <c r="F67" s="17">
        <f>IF('Shipment Data'!A67="","",('Shipment Data'!G67*'Shipment Data'!H67*'Shipment Data'!I67)/5000)</f>
        <v/>
      </c>
      <c r="G67" s="17">
        <f>IF('Shipment Data'!A67="","",CEILING(MAX(E67,F67),0.5))</f>
        <v/>
      </c>
      <c r="H67" s="16">
        <f>IF('Shipment Data'!A67="","",'Shipment Data'!K67)</f>
        <v/>
      </c>
      <c r="I67" s="6">
        <f>IF('Shipment Data'!A67="","",IF(H67&gt;G67,"COURIER OVER-ROUNDED WEIGHT","OK"))</f>
        <v/>
      </c>
      <c r="J67" s="18">
        <f>IF('Shipment Data'!A67="","",INDEX('Rate Card'!$D$4:$D$8,MATCH(B67,'Rate Card'!$A$4:$A$8,0)))</f>
        <v/>
      </c>
      <c r="K67" s="18">
        <f>IF('Shipment Data'!A67="","",ROUND((G67-INDEX('Rate Card'!$C$4:$C$8,MATCH(B67,'Rate Card'!$A$4:$A$8,0)))/0.5,0)*INDEX('Rate Card'!$E$4:$E$8,MATCH(B67,'Rate Card'!$A$4:$A$8,0)))</f>
        <v/>
      </c>
      <c r="L67" s="18">
        <f>IF('Shipment Data'!A67="","",IF(C67="COD",MAX('Shipment Data'!E67*INDEX('Rate Card'!$F$4:$F$8,MATCH(B67,'Rate Card'!$A$4:$A$8,0)),INDEX('Rate Card'!$G$4:$G$8,MATCH(B67,'Rate Card'!$A$4:$A$8,0))),0))</f>
        <v/>
      </c>
      <c r="M67" s="18">
        <f>IF('Shipment Data'!A67="","",IF(D67="RTO",(J67+K67)*INDEX('Rate Card'!$H$4:$H$8,MATCH(B67,'Rate Card'!$A$4:$A$8,0)),0))</f>
        <v/>
      </c>
      <c r="N67" s="19">
        <f>IF('Shipment Data'!A67="","",J67+K67+L67+M67)</f>
        <v/>
      </c>
      <c r="O67" s="18">
        <f>IF('Shipment Data'!A67="","",'Shipment Data'!L67)</f>
        <v/>
      </c>
      <c r="P67" s="19">
        <f>IF('Shipment Data'!A67="","",O67-N67)</f>
        <v/>
      </c>
      <c r="Q67" s="6">
        <f>IF('Shipment Data'!A67="","",IF(P67&gt;1,"OVERCHARGED",IF(P67&lt;-1,"UNDERBILLED","MATCH")))</f>
        <v/>
      </c>
    </row>
    <row r="68">
      <c r="A68" s="15">
        <f>IF('Shipment Data'!A68="","",'Shipment Data'!A68)</f>
        <v/>
      </c>
      <c r="B68" s="15">
        <f>IF('Shipment Data'!A68="","",'Shipment Data'!C68)</f>
        <v/>
      </c>
      <c r="C68" s="15">
        <f>IF('Shipment Data'!A68="","",'Shipment Data'!D68)</f>
        <v/>
      </c>
      <c r="D68" s="15">
        <f>IF('Shipment Data'!A68="","",'Shipment Data'!J68)</f>
        <v/>
      </c>
      <c r="E68" s="16">
        <f>IF('Shipment Data'!A68="","",'Shipment Data'!F68)</f>
        <v/>
      </c>
      <c r="F68" s="17">
        <f>IF('Shipment Data'!A68="","",('Shipment Data'!G68*'Shipment Data'!H68*'Shipment Data'!I68)/5000)</f>
        <v/>
      </c>
      <c r="G68" s="17">
        <f>IF('Shipment Data'!A68="","",CEILING(MAX(E68,F68),0.5))</f>
        <v/>
      </c>
      <c r="H68" s="16">
        <f>IF('Shipment Data'!A68="","",'Shipment Data'!K68)</f>
        <v/>
      </c>
      <c r="I68" s="6">
        <f>IF('Shipment Data'!A68="","",IF(H68&gt;G68,"COURIER OVER-ROUNDED WEIGHT","OK"))</f>
        <v/>
      </c>
      <c r="J68" s="18">
        <f>IF('Shipment Data'!A68="","",INDEX('Rate Card'!$D$4:$D$8,MATCH(B68,'Rate Card'!$A$4:$A$8,0)))</f>
        <v/>
      </c>
      <c r="K68" s="18">
        <f>IF('Shipment Data'!A68="","",ROUND((G68-INDEX('Rate Card'!$C$4:$C$8,MATCH(B68,'Rate Card'!$A$4:$A$8,0)))/0.5,0)*INDEX('Rate Card'!$E$4:$E$8,MATCH(B68,'Rate Card'!$A$4:$A$8,0)))</f>
        <v/>
      </c>
      <c r="L68" s="18">
        <f>IF('Shipment Data'!A68="","",IF(C68="COD",MAX('Shipment Data'!E68*INDEX('Rate Card'!$F$4:$F$8,MATCH(B68,'Rate Card'!$A$4:$A$8,0)),INDEX('Rate Card'!$G$4:$G$8,MATCH(B68,'Rate Card'!$A$4:$A$8,0))),0))</f>
        <v/>
      </c>
      <c r="M68" s="18">
        <f>IF('Shipment Data'!A68="","",IF(D68="RTO",(J68+K68)*INDEX('Rate Card'!$H$4:$H$8,MATCH(B68,'Rate Card'!$A$4:$A$8,0)),0))</f>
        <v/>
      </c>
      <c r="N68" s="19">
        <f>IF('Shipment Data'!A68="","",J68+K68+L68+M68)</f>
        <v/>
      </c>
      <c r="O68" s="18">
        <f>IF('Shipment Data'!A68="","",'Shipment Data'!L68)</f>
        <v/>
      </c>
      <c r="P68" s="19">
        <f>IF('Shipment Data'!A68="","",O68-N68)</f>
        <v/>
      </c>
      <c r="Q68" s="6">
        <f>IF('Shipment Data'!A68="","",IF(P68&gt;1,"OVERCHARGED",IF(P68&lt;-1,"UNDERBILLED","MATCH")))</f>
        <v/>
      </c>
    </row>
    <row r="69">
      <c r="A69" s="15">
        <f>IF('Shipment Data'!A69="","",'Shipment Data'!A69)</f>
        <v/>
      </c>
      <c r="B69" s="15">
        <f>IF('Shipment Data'!A69="","",'Shipment Data'!C69)</f>
        <v/>
      </c>
      <c r="C69" s="15">
        <f>IF('Shipment Data'!A69="","",'Shipment Data'!D69)</f>
        <v/>
      </c>
      <c r="D69" s="15">
        <f>IF('Shipment Data'!A69="","",'Shipment Data'!J69)</f>
        <v/>
      </c>
      <c r="E69" s="16">
        <f>IF('Shipment Data'!A69="","",'Shipment Data'!F69)</f>
        <v/>
      </c>
      <c r="F69" s="17">
        <f>IF('Shipment Data'!A69="","",('Shipment Data'!G69*'Shipment Data'!H69*'Shipment Data'!I69)/5000)</f>
        <v/>
      </c>
      <c r="G69" s="17">
        <f>IF('Shipment Data'!A69="","",CEILING(MAX(E69,F69),0.5))</f>
        <v/>
      </c>
      <c r="H69" s="16">
        <f>IF('Shipment Data'!A69="","",'Shipment Data'!K69)</f>
        <v/>
      </c>
      <c r="I69" s="6">
        <f>IF('Shipment Data'!A69="","",IF(H69&gt;G69,"COURIER OVER-ROUNDED WEIGHT","OK"))</f>
        <v/>
      </c>
      <c r="J69" s="18">
        <f>IF('Shipment Data'!A69="","",INDEX('Rate Card'!$D$4:$D$8,MATCH(B69,'Rate Card'!$A$4:$A$8,0)))</f>
        <v/>
      </c>
      <c r="K69" s="18">
        <f>IF('Shipment Data'!A69="","",ROUND((G69-INDEX('Rate Card'!$C$4:$C$8,MATCH(B69,'Rate Card'!$A$4:$A$8,0)))/0.5,0)*INDEX('Rate Card'!$E$4:$E$8,MATCH(B69,'Rate Card'!$A$4:$A$8,0)))</f>
        <v/>
      </c>
      <c r="L69" s="18">
        <f>IF('Shipment Data'!A69="","",IF(C69="COD",MAX('Shipment Data'!E69*INDEX('Rate Card'!$F$4:$F$8,MATCH(B69,'Rate Card'!$A$4:$A$8,0)),INDEX('Rate Card'!$G$4:$G$8,MATCH(B69,'Rate Card'!$A$4:$A$8,0))),0))</f>
        <v/>
      </c>
      <c r="M69" s="18">
        <f>IF('Shipment Data'!A69="","",IF(D69="RTO",(J69+K69)*INDEX('Rate Card'!$H$4:$H$8,MATCH(B69,'Rate Card'!$A$4:$A$8,0)),0))</f>
        <v/>
      </c>
      <c r="N69" s="19">
        <f>IF('Shipment Data'!A69="","",J69+K69+L69+M69)</f>
        <v/>
      </c>
      <c r="O69" s="18">
        <f>IF('Shipment Data'!A69="","",'Shipment Data'!L69)</f>
        <v/>
      </c>
      <c r="P69" s="19">
        <f>IF('Shipment Data'!A69="","",O69-N69)</f>
        <v/>
      </c>
      <c r="Q69" s="6">
        <f>IF('Shipment Data'!A69="","",IF(P69&gt;1,"OVERCHARGED",IF(P69&lt;-1,"UNDERBILLED","MATCH")))</f>
        <v/>
      </c>
    </row>
    <row r="70">
      <c r="A70" s="15">
        <f>IF('Shipment Data'!A70="","",'Shipment Data'!A70)</f>
        <v/>
      </c>
      <c r="B70" s="15">
        <f>IF('Shipment Data'!A70="","",'Shipment Data'!C70)</f>
        <v/>
      </c>
      <c r="C70" s="15">
        <f>IF('Shipment Data'!A70="","",'Shipment Data'!D70)</f>
        <v/>
      </c>
      <c r="D70" s="15">
        <f>IF('Shipment Data'!A70="","",'Shipment Data'!J70)</f>
        <v/>
      </c>
      <c r="E70" s="16">
        <f>IF('Shipment Data'!A70="","",'Shipment Data'!F70)</f>
        <v/>
      </c>
      <c r="F70" s="17">
        <f>IF('Shipment Data'!A70="","",('Shipment Data'!G70*'Shipment Data'!H70*'Shipment Data'!I70)/5000)</f>
        <v/>
      </c>
      <c r="G70" s="17">
        <f>IF('Shipment Data'!A70="","",CEILING(MAX(E70,F70),0.5))</f>
        <v/>
      </c>
      <c r="H70" s="16">
        <f>IF('Shipment Data'!A70="","",'Shipment Data'!K70)</f>
        <v/>
      </c>
      <c r="I70" s="6">
        <f>IF('Shipment Data'!A70="","",IF(H70&gt;G70,"COURIER OVER-ROUNDED WEIGHT","OK"))</f>
        <v/>
      </c>
      <c r="J70" s="18">
        <f>IF('Shipment Data'!A70="","",INDEX('Rate Card'!$D$4:$D$8,MATCH(B70,'Rate Card'!$A$4:$A$8,0)))</f>
        <v/>
      </c>
      <c r="K70" s="18">
        <f>IF('Shipment Data'!A70="","",ROUND((G70-INDEX('Rate Card'!$C$4:$C$8,MATCH(B70,'Rate Card'!$A$4:$A$8,0)))/0.5,0)*INDEX('Rate Card'!$E$4:$E$8,MATCH(B70,'Rate Card'!$A$4:$A$8,0)))</f>
        <v/>
      </c>
      <c r="L70" s="18">
        <f>IF('Shipment Data'!A70="","",IF(C70="COD",MAX('Shipment Data'!E70*INDEX('Rate Card'!$F$4:$F$8,MATCH(B70,'Rate Card'!$A$4:$A$8,0)),INDEX('Rate Card'!$G$4:$G$8,MATCH(B70,'Rate Card'!$A$4:$A$8,0))),0))</f>
        <v/>
      </c>
      <c r="M70" s="18">
        <f>IF('Shipment Data'!A70="","",IF(D70="RTO",(J70+K70)*INDEX('Rate Card'!$H$4:$H$8,MATCH(B70,'Rate Card'!$A$4:$A$8,0)),0))</f>
        <v/>
      </c>
      <c r="N70" s="19">
        <f>IF('Shipment Data'!A70="","",J70+K70+L70+M70)</f>
        <v/>
      </c>
      <c r="O70" s="18">
        <f>IF('Shipment Data'!A70="","",'Shipment Data'!L70)</f>
        <v/>
      </c>
      <c r="P70" s="19">
        <f>IF('Shipment Data'!A70="","",O70-N70)</f>
        <v/>
      </c>
      <c r="Q70" s="6">
        <f>IF('Shipment Data'!A70="","",IF(P70&gt;1,"OVERCHARGED",IF(P70&lt;-1,"UNDERBILLED","MATCH")))</f>
        <v/>
      </c>
    </row>
    <row r="71">
      <c r="A71" s="15">
        <f>IF('Shipment Data'!A71="","",'Shipment Data'!A71)</f>
        <v/>
      </c>
      <c r="B71" s="15">
        <f>IF('Shipment Data'!A71="","",'Shipment Data'!C71)</f>
        <v/>
      </c>
      <c r="C71" s="15">
        <f>IF('Shipment Data'!A71="","",'Shipment Data'!D71)</f>
        <v/>
      </c>
      <c r="D71" s="15">
        <f>IF('Shipment Data'!A71="","",'Shipment Data'!J71)</f>
        <v/>
      </c>
      <c r="E71" s="16">
        <f>IF('Shipment Data'!A71="","",'Shipment Data'!F71)</f>
        <v/>
      </c>
      <c r="F71" s="17">
        <f>IF('Shipment Data'!A71="","",('Shipment Data'!G71*'Shipment Data'!H71*'Shipment Data'!I71)/5000)</f>
        <v/>
      </c>
      <c r="G71" s="17">
        <f>IF('Shipment Data'!A71="","",CEILING(MAX(E71,F71),0.5))</f>
        <v/>
      </c>
      <c r="H71" s="16">
        <f>IF('Shipment Data'!A71="","",'Shipment Data'!K71)</f>
        <v/>
      </c>
      <c r="I71" s="6">
        <f>IF('Shipment Data'!A71="","",IF(H71&gt;G71,"COURIER OVER-ROUNDED WEIGHT","OK"))</f>
        <v/>
      </c>
      <c r="J71" s="18">
        <f>IF('Shipment Data'!A71="","",INDEX('Rate Card'!$D$4:$D$8,MATCH(B71,'Rate Card'!$A$4:$A$8,0)))</f>
        <v/>
      </c>
      <c r="K71" s="18">
        <f>IF('Shipment Data'!A71="","",ROUND((G71-INDEX('Rate Card'!$C$4:$C$8,MATCH(B71,'Rate Card'!$A$4:$A$8,0)))/0.5,0)*INDEX('Rate Card'!$E$4:$E$8,MATCH(B71,'Rate Card'!$A$4:$A$8,0)))</f>
        <v/>
      </c>
      <c r="L71" s="18">
        <f>IF('Shipment Data'!A71="","",IF(C71="COD",MAX('Shipment Data'!E71*INDEX('Rate Card'!$F$4:$F$8,MATCH(B71,'Rate Card'!$A$4:$A$8,0)),INDEX('Rate Card'!$G$4:$G$8,MATCH(B71,'Rate Card'!$A$4:$A$8,0))),0))</f>
        <v/>
      </c>
      <c r="M71" s="18">
        <f>IF('Shipment Data'!A71="","",IF(D71="RTO",(J71+K71)*INDEX('Rate Card'!$H$4:$H$8,MATCH(B71,'Rate Card'!$A$4:$A$8,0)),0))</f>
        <v/>
      </c>
      <c r="N71" s="19">
        <f>IF('Shipment Data'!A71="","",J71+K71+L71+M71)</f>
        <v/>
      </c>
      <c r="O71" s="18">
        <f>IF('Shipment Data'!A71="","",'Shipment Data'!L71)</f>
        <v/>
      </c>
      <c r="P71" s="19">
        <f>IF('Shipment Data'!A71="","",O71-N71)</f>
        <v/>
      </c>
      <c r="Q71" s="6">
        <f>IF('Shipment Data'!A71="","",IF(P71&gt;1,"OVERCHARGED",IF(P71&lt;-1,"UNDERBILLED","MATCH")))</f>
        <v/>
      </c>
    </row>
    <row r="72">
      <c r="A72" s="15">
        <f>IF('Shipment Data'!A72="","",'Shipment Data'!A72)</f>
        <v/>
      </c>
      <c r="B72" s="15">
        <f>IF('Shipment Data'!A72="","",'Shipment Data'!C72)</f>
        <v/>
      </c>
      <c r="C72" s="15">
        <f>IF('Shipment Data'!A72="","",'Shipment Data'!D72)</f>
        <v/>
      </c>
      <c r="D72" s="15">
        <f>IF('Shipment Data'!A72="","",'Shipment Data'!J72)</f>
        <v/>
      </c>
      <c r="E72" s="16">
        <f>IF('Shipment Data'!A72="","",'Shipment Data'!F72)</f>
        <v/>
      </c>
      <c r="F72" s="17">
        <f>IF('Shipment Data'!A72="","",('Shipment Data'!G72*'Shipment Data'!H72*'Shipment Data'!I72)/5000)</f>
        <v/>
      </c>
      <c r="G72" s="17">
        <f>IF('Shipment Data'!A72="","",CEILING(MAX(E72,F72),0.5))</f>
        <v/>
      </c>
      <c r="H72" s="16">
        <f>IF('Shipment Data'!A72="","",'Shipment Data'!K72)</f>
        <v/>
      </c>
      <c r="I72" s="6">
        <f>IF('Shipment Data'!A72="","",IF(H72&gt;G72,"COURIER OVER-ROUNDED WEIGHT","OK"))</f>
        <v/>
      </c>
      <c r="J72" s="18">
        <f>IF('Shipment Data'!A72="","",INDEX('Rate Card'!$D$4:$D$8,MATCH(B72,'Rate Card'!$A$4:$A$8,0)))</f>
        <v/>
      </c>
      <c r="K72" s="18">
        <f>IF('Shipment Data'!A72="","",ROUND((G72-INDEX('Rate Card'!$C$4:$C$8,MATCH(B72,'Rate Card'!$A$4:$A$8,0)))/0.5,0)*INDEX('Rate Card'!$E$4:$E$8,MATCH(B72,'Rate Card'!$A$4:$A$8,0)))</f>
        <v/>
      </c>
      <c r="L72" s="18">
        <f>IF('Shipment Data'!A72="","",IF(C72="COD",MAX('Shipment Data'!E72*INDEX('Rate Card'!$F$4:$F$8,MATCH(B72,'Rate Card'!$A$4:$A$8,0)),INDEX('Rate Card'!$G$4:$G$8,MATCH(B72,'Rate Card'!$A$4:$A$8,0))),0))</f>
        <v/>
      </c>
      <c r="M72" s="18">
        <f>IF('Shipment Data'!A72="","",IF(D72="RTO",(J72+K72)*INDEX('Rate Card'!$H$4:$H$8,MATCH(B72,'Rate Card'!$A$4:$A$8,0)),0))</f>
        <v/>
      </c>
      <c r="N72" s="19">
        <f>IF('Shipment Data'!A72="","",J72+K72+L72+M72)</f>
        <v/>
      </c>
      <c r="O72" s="18">
        <f>IF('Shipment Data'!A72="","",'Shipment Data'!L72)</f>
        <v/>
      </c>
      <c r="P72" s="19">
        <f>IF('Shipment Data'!A72="","",O72-N72)</f>
        <v/>
      </c>
      <c r="Q72" s="6">
        <f>IF('Shipment Data'!A72="","",IF(P72&gt;1,"OVERCHARGED",IF(P72&lt;-1,"UNDERBILLED","MATCH")))</f>
        <v/>
      </c>
    </row>
    <row r="73">
      <c r="A73" s="15">
        <f>IF('Shipment Data'!A73="","",'Shipment Data'!A73)</f>
        <v/>
      </c>
      <c r="B73" s="15">
        <f>IF('Shipment Data'!A73="","",'Shipment Data'!C73)</f>
        <v/>
      </c>
      <c r="C73" s="15">
        <f>IF('Shipment Data'!A73="","",'Shipment Data'!D73)</f>
        <v/>
      </c>
      <c r="D73" s="15">
        <f>IF('Shipment Data'!A73="","",'Shipment Data'!J73)</f>
        <v/>
      </c>
      <c r="E73" s="16">
        <f>IF('Shipment Data'!A73="","",'Shipment Data'!F73)</f>
        <v/>
      </c>
      <c r="F73" s="17">
        <f>IF('Shipment Data'!A73="","",('Shipment Data'!G73*'Shipment Data'!H73*'Shipment Data'!I73)/5000)</f>
        <v/>
      </c>
      <c r="G73" s="17">
        <f>IF('Shipment Data'!A73="","",CEILING(MAX(E73,F73),0.5))</f>
        <v/>
      </c>
      <c r="H73" s="16">
        <f>IF('Shipment Data'!A73="","",'Shipment Data'!K73)</f>
        <v/>
      </c>
      <c r="I73" s="6">
        <f>IF('Shipment Data'!A73="","",IF(H73&gt;G73,"COURIER OVER-ROUNDED WEIGHT","OK"))</f>
        <v/>
      </c>
      <c r="J73" s="18">
        <f>IF('Shipment Data'!A73="","",INDEX('Rate Card'!$D$4:$D$8,MATCH(B73,'Rate Card'!$A$4:$A$8,0)))</f>
        <v/>
      </c>
      <c r="K73" s="18">
        <f>IF('Shipment Data'!A73="","",ROUND((G73-INDEX('Rate Card'!$C$4:$C$8,MATCH(B73,'Rate Card'!$A$4:$A$8,0)))/0.5,0)*INDEX('Rate Card'!$E$4:$E$8,MATCH(B73,'Rate Card'!$A$4:$A$8,0)))</f>
        <v/>
      </c>
      <c r="L73" s="18">
        <f>IF('Shipment Data'!A73="","",IF(C73="COD",MAX('Shipment Data'!E73*INDEX('Rate Card'!$F$4:$F$8,MATCH(B73,'Rate Card'!$A$4:$A$8,0)),INDEX('Rate Card'!$G$4:$G$8,MATCH(B73,'Rate Card'!$A$4:$A$8,0))),0))</f>
        <v/>
      </c>
      <c r="M73" s="18">
        <f>IF('Shipment Data'!A73="","",IF(D73="RTO",(J73+K73)*INDEX('Rate Card'!$H$4:$H$8,MATCH(B73,'Rate Card'!$A$4:$A$8,0)),0))</f>
        <v/>
      </c>
      <c r="N73" s="19">
        <f>IF('Shipment Data'!A73="","",J73+K73+L73+M73)</f>
        <v/>
      </c>
      <c r="O73" s="18">
        <f>IF('Shipment Data'!A73="","",'Shipment Data'!L73)</f>
        <v/>
      </c>
      <c r="P73" s="19">
        <f>IF('Shipment Data'!A73="","",O73-N73)</f>
        <v/>
      </c>
      <c r="Q73" s="6">
        <f>IF('Shipment Data'!A73="","",IF(P73&gt;1,"OVERCHARGED",IF(P73&lt;-1,"UNDERBILLED","MATCH")))</f>
        <v/>
      </c>
    </row>
    <row r="74">
      <c r="A74" s="15">
        <f>IF('Shipment Data'!A74="","",'Shipment Data'!A74)</f>
        <v/>
      </c>
      <c r="B74" s="15">
        <f>IF('Shipment Data'!A74="","",'Shipment Data'!C74)</f>
        <v/>
      </c>
      <c r="C74" s="15">
        <f>IF('Shipment Data'!A74="","",'Shipment Data'!D74)</f>
        <v/>
      </c>
      <c r="D74" s="15">
        <f>IF('Shipment Data'!A74="","",'Shipment Data'!J74)</f>
        <v/>
      </c>
      <c r="E74" s="16">
        <f>IF('Shipment Data'!A74="","",'Shipment Data'!F74)</f>
        <v/>
      </c>
      <c r="F74" s="17">
        <f>IF('Shipment Data'!A74="","",('Shipment Data'!G74*'Shipment Data'!H74*'Shipment Data'!I74)/5000)</f>
        <v/>
      </c>
      <c r="G74" s="17">
        <f>IF('Shipment Data'!A74="","",CEILING(MAX(E74,F74),0.5))</f>
        <v/>
      </c>
      <c r="H74" s="16">
        <f>IF('Shipment Data'!A74="","",'Shipment Data'!K74)</f>
        <v/>
      </c>
      <c r="I74" s="6">
        <f>IF('Shipment Data'!A74="","",IF(H74&gt;G74,"COURIER OVER-ROUNDED WEIGHT","OK"))</f>
        <v/>
      </c>
      <c r="J74" s="18">
        <f>IF('Shipment Data'!A74="","",INDEX('Rate Card'!$D$4:$D$8,MATCH(B74,'Rate Card'!$A$4:$A$8,0)))</f>
        <v/>
      </c>
      <c r="K74" s="18">
        <f>IF('Shipment Data'!A74="","",ROUND((G74-INDEX('Rate Card'!$C$4:$C$8,MATCH(B74,'Rate Card'!$A$4:$A$8,0)))/0.5,0)*INDEX('Rate Card'!$E$4:$E$8,MATCH(B74,'Rate Card'!$A$4:$A$8,0)))</f>
        <v/>
      </c>
      <c r="L74" s="18">
        <f>IF('Shipment Data'!A74="","",IF(C74="COD",MAX('Shipment Data'!E74*INDEX('Rate Card'!$F$4:$F$8,MATCH(B74,'Rate Card'!$A$4:$A$8,0)),INDEX('Rate Card'!$G$4:$G$8,MATCH(B74,'Rate Card'!$A$4:$A$8,0))),0))</f>
        <v/>
      </c>
      <c r="M74" s="18">
        <f>IF('Shipment Data'!A74="","",IF(D74="RTO",(J74+K74)*INDEX('Rate Card'!$H$4:$H$8,MATCH(B74,'Rate Card'!$A$4:$A$8,0)),0))</f>
        <v/>
      </c>
      <c r="N74" s="19">
        <f>IF('Shipment Data'!A74="","",J74+K74+L74+M74)</f>
        <v/>
      </c>
      <c r="O74" s="18">
        <f>IF('Shipment Data'!A74="","",'Shipment Data'!L74)</f>
        <v/>
      </c>
      <c r="P74" s="19">
        <f>IF('Shipment Data'!A74="","",O74-N74)</f>
        <v/>
      </c>
      <c r="Q74" s="6">
        <f>IF('Shipment Data'!A74="","",IF(P74&gt;1,"OVERCHARGED",IF(P74&lt;-1,"UNDERBILLED","MATCH")))</f>
        <v/>
      </c>
    </row>
    <row r="75">
      <c r="A75" s="15">
        <f>IF('Shipment Data'!A75="","",'Shipment Data'!A75)</f>
        <v/>
      </c>
      <c r="B75" s="15">
        <f>IF('Shipment Data'!A75="","",'Shipment Data'!C75)</f>
        <v/>
      </c>
      <c r="C75" s="15">
        <f>IF('Shipment Data'!A75="","",'Shipment Data'!D75)</f>
        <v/>
      </c>
      <c r="D75" s="15">
        <f>IF('Shipment Data'!A75="","",'Shipment Data'!J75)</f>
        <v/>
      </c>
      <c r="E75" s="16">
        <f>IF('Shipment Data'!A75="","",'Shipment Data'!F75)</f>
        <v/>
      </c>
      <c r="F75" s="17">
        <f>IF('Shipment Data'!A75="","",('Shipment Data'!G75*'Shipment Data'!H75*'Shipment Data'!I75)/5000)</f>
        <v/>
      </c>
      <c r="G75" s="17">
        <f>IF('Shipment Data'!A75="","",CEILING(MAX(E75,F75),0.5))</f>
        <v/>
      </c>
      <c r="H75" s="16">
        <f>IF('Shipment Data'!A75="","",'Shipment Data'!K75)</f>
        <v/>
      </c>
      <c r="I75" s="6">
        <f>IF('Shipment Data'!A75="","",IF(H75&gt;G75,"COURIER OVER-ROUNDED WEIGHT","OK"))</f>
        <v/>
      </c>
      <c r="J75" s="18">
        <f>IF('Shipment Data'!A75="","",INDEX('Rate Card'!$D$4:$D$8,MATCH(B75,'Rate Card'!$A$4:$A$8,0)))</f>
        <v/>
      </c>
      <c r="K75" s="18">
        <f>IF('Shipment Data'!A75="","",ROUND((G75-INDEX('Rate Card'!$C$4:$C$8,MATCH(B75,'Rate Card'!$A$4:$A$8,0)))/0.5,0)*INDEX('Rate Card'!$E$4:$E$8,MATCH(B75,'Rate Card'!$A$4:$A$8,0)))</f>
        <v/>
      </c>
      <c r="L75" s="18">
        <f>IF('Shipment Data'!A75="","",IF(C75="COD",MAX('Shipment Data'!E75*INDEX('Rate Card'!$F$4:$F$8,MATCH(B75,'Rate Card'!$A$4:$A$8,0)),INDEX('Rate Card'!$G$4:$G$8,MATCH(B75,'Rate Card'!$A$4:$A$8,0))),0))</f>
        <v/>
      </c>
      <c r="M75" s="18">
        <f>IF('Shipment Data'!A75="","",IF(D75="RTO",(J75+K75)*INDEX('Rate Card'!$H$4:$H$8,MATCH(B75,'Rate Card'!$A$4:$A$8,0)),0))</f>
        <v/>
      </c>
      <c r="N75" s="19">
        <f>IF('Shipment Data'!A75="","",J75+K75+L75+M75)</f>
        <v/>
      </c>
      <c r="O75" s="18">
        <f>IF('Shipment Data'!A75="","",'Shipment Data'!L75)</f>
        <v/>
      </c>
      <c r="P75" s="19">
        <f>IF('Shipment Data'!A75="","",O75-N75)</f>
        <v/>
      </c>
      <c r="Q75" s="6">
        <f>IF('Shipment Data'!A75="","",IF(P75&gt;1,"OVERCHARGED",IF(P75&lt;-1,"UNDERBILLED","MATCH")))</f>
        <v/>
      </c>
    </row>
    <row r="76">
      <c r="A76" s="15">
        <f>IF('Shipment Data'!A76="","",'Shipment Data'!A76)</f>
        <v/>
      </c>
      <c r="B76" s="15">
        <f>IF('Shipment Data'!A76="","",'Shipment Data'!C76)</f>
        <v/>
      </c>
      <c r="C76" s="15">
        <f>IF('Shipment Data'!A76="","",'Shipment Data'!D76)</f>
        <v/>
      </c>
      <c r="D76" s="15">
        <f>IF('Shipment Data'!A76="","",'Shipment Data'!J76)</f>
        <v/>
      </c>
      <c r="E76" s="16">
        <f>IF('Shipment Data'!A76="","",'Shipment Data'!F76)</f>
        <v/>
      </c>
      <c r="F76" s="17">
        <f>IF('Shipment Data'!A76="","",('Shipment Data'!G76*'Shipment Data'!H76*'Shipment Data'!I76)/5000)</f>
        <v/>
      </c>
      <c r="G76" s="17">
        <f>IF('Shipment Data'!A76="","",CEILING(MAX(E76,F76),0.5))</f>
        <v/>
      </c>
      <c r="H76" s="16">
        <f>IF('Shipment Data'!A76="","",'Shipment Data'!K76)</f>
        <v/>
      </c>
      <c r="I76" s="6">
        <f>IF('Shipment Data'!A76="","",IF(H76&gt;G76,"COURIER OVER-ROUNDED WEIGHT","OK"))</f>
        <v/>
      </c>
      <c r="J76" s="18">
        <f>IF('Shipment Data'!A76="","",INDEX('Rate Card'!$D$4:$D$8,MATCH(B76,'Rate Card'!$A$4:$A$8,0)))</f>
        <v/>
      </c>
      <c r="K76" s="18">
        <f>IF('Shipment Data'!A76="","",ROUND((G76-INDEX('Rate Card'!$C$4:$C$8,MATCH(B76,'Rate Card'!$A$4:$A$8,0)))/0.5,0)*INDEX('Rate Card'!$E$4:$E$8,MATCH(B76,'Rate Card'!$A$4:$A$8,0)))</f>
        <v/>
      </c>
      <c r="L76" s="18">
        <f>IF('Shipment Data'!A76="","",IF(C76="COD",MAX('Shipment Data'!E76*INDEX('Rate Card'!$F$4:$F$8,MATCH(B76,'Rate Card'!$A$4:$A$8,0)),INDEX('Rate Card'!$G$4:$G$8,MATCH(B76,'Rate Card'!$A$4:$A$8,0))),0))</f>
        <v/>
      </c>
      <c r="M76" s="18">
        <f>IF('Shipment Data'!A76="","",IF(D76="RTO",(J76+K76)*INDEX('Rate Card'!$H$4:$H$8,MATCH(B76,'Rate Card'!$A$4:$A$8,0)),0))</f>
        <v/>
      </c>
      <c r="N76" s="19">
        <f>IF('Shipment Data'!A76="","",J76+K76+L76+M76)</f>
        <v/>
      </c>
      <c r="O76" s="18">
        <f>IF('Shipment Data'!A76="","",'Shipment Data'!L76)</f>
        <v/>
      </c>
      <c r="P76" s="19">
        <f>IF('Shipment Data'!A76="","",O76-N76)</f>
        <v/>
      </c>
      <c r="Q76" s="6">
        <f>IF('Shipment Data'!A76="","",IF(P76&gt;1,"OVERCHARGED",IF(P76&lt;-1,"UNDERBILLED","MATCH")))</f>
        <v/>
      </c>
    </row>
    <row r="77">
      <c r="A77" s="15">
        <f>IF('Shipment Data'!A77="","",'Shipment Data'!A77)</f>
        <v/>
      </c>
      <c r="B77" s="15">
        <f>IF('Shipment Data'!A77="","",'Shipment Data'!C77)</f>
        <v/>
      </c>
      <c r="C77" s="15">
        <f>IF('Shipment Data'!A77="","",'Shipment Data'!D77)</f>
        <v/>
      </c>
      <c r="D77" s="15">
        <f>IF('Shipment Data'!A77="","",'Shipment Data'!J77)</f>
        <v/>
      </c>
      <c r="E77" s="16">
        <f>IF('Shipment Data'!A77="","",'Shipment Data'!F77)</f>
        <v/>
      </c>
      <c r="F77" s="17">
        <f>IF('Shipment Data'!A77="","",('Shipment Data'!G77*'Shipment Data'!H77*'Shipment Data'!I77)/5000)</f>
        <v/>
      </c>
      <c r="G77" s="17">
        <f>IF('Shipment Data'!A77="","",CEILING(MAX(E77,F77),0.5))</f>
        <v/>
      </c>
      <c r="H77" s="16">
        <f>IF('Shipment Data'!A77="","",'Shipment Data'!K77)</f>
        <v/>
      </c>
      <c r="I77" s="6">
        <f>IF('Shipment Data'!A77="","",IF(H77&gt;G77,"COURIER OVER-ROUNDED WEIGHT","OK"))</f>
        <v/>
      </c>
      <c r="J77" s="18">
        <f>IF('Shipment Data'!A77="","",INDEX('Rate Card'!$D$4:$D$8,MATCH(B77,'Rate Card'!$A$4:$A$8,0)))</f>
        <v/>
      </c>
      <c r="K77" s="18">
        <f>IF('Shipment Data'!A77="","",ROUND((G77-INDEX('Rate Card'!$C$4:$C$8,MATCH(B77,'Rate Card'!$A$4:$A$8,0)))/0.5,0)*INDEX('Rate Card'!$E$4:$E$8,MATCH(B77,'Rate Card'!$A$4:$A$8,0)))</f>
        <v/>
      </c>
      <c r="L77" s="18">
        <f>IF('Shipment Data'!A77="","",IF(C77="COD",MAX('Shipment Data'!E77*INDEX('Rate Card'!$F$4:$F$8,MATCH(B77,'Rate Card'!$A$4:$A$8,0)),INDEX('Rate Card'!$G$4:$G$8,MATCH(B77,'Rate Card'!$A$4:$A$8,0))),0))</f>
        <v/>
      </c>
      <c r="M77" s="18">
        <f>IF('Shipment Data'!A77="","",IF(D77="RTO",(J77+K77)*INDEX('Rate Card'!$H$4:$H$8,MATCH(B77,'Rate Card'!$A$4:$A$8,0)),0))</f>
        <v/>
      </c>
      <c r="N77" s="19">
        <f>IF('Shipment Data'!A77="","",J77+K77+L77+M77)</f>
        <v/>
      </c>
      <c r="O77" s="18">
        <f>IF('Shipment Data'!A77="","",'Shipment Data'!L77)</f>
        <v/>
      </c>
      <c r="P77" s="19">
        <f>IF('Shipment Data'!A77="","",O77-N77)</f>
        <v/>
      </c>
      <c r="Q77" s="6">
        <f>IF('Shipment Data'!A77="","",IF(P77&gt;1,"OVERCHARGED",IF(P77&lt;-1,"UNDERBILLED","MATCH")))</f>
        <v/>
      </c>
    </row>
    <row r="78">
      <c r="A78" s="15">
        <f>IF('Shipment Data'!A78="","",'Shipment Data'!A78)</f>
        <v/>
      </c>
      <c r="B78" s="15">
        <f>IF('Shipment Data'!A78="","",'Shipment Data'!C78)</f>
        <v/>
      </c>
      <c r="C78" s="15">
        <f>IF('Shipment Data'!A78="","",'Shipment Data'!D78)</f>
        <v/>
      </c>
      <c r="D78" s="15">
        <f>IF('Shipment Data'!A78="","",'Shipment Data'!J78)</f>
        <v/>
      </c>
      <c r="E78" s="16">
        <f>IF('Shipment Data'!A78="","",'Shipment Data'!F78)</f>
        <v/>
      </c>
      <c r="F78" s="17">
        <f>IF('Shipment Data'!A78="","",('Shipment Data'!G78*'Shipment Data'!H78*'Shipment Data'!I78)/5000)</f>
        <v/>
      </c>
      <c r="G78" s="17">
        <f>IF('Shipment Data'!A78="","",CEILING(MAX(E78,F78),0.5))</f>
        <v/>
      </c>
      <c r="H78" s="16">
        <f>IF('Shipment Data'!A78="","",'Shipment Data'!K78)</f>
        <v/>
      </c>
      <c r="I78" s="6">
        <f>IF('Shipment Data'!A78="","",IF(H78&gt;G78,"COURIER OVER-ROUNDED WEIGHT","OK"))</f>
        <v/>
      </c>
      <c r="J78" s="18">
        <f>IF('Shipment Data'!A78="","",INDEX('Rate Card'!$D$4:$D$8,MATCH(B78,'Rate Card'!$A$4:$A$8,0)))</f>
        <v/>
      </c>
      <c r="K78" s="18">
        <f>IF('Shipment Data'!A78="","",ROUND((G78-INDEX('Rate Card'!$C$4:$C$8,MATCH(B78,'Rate Card'!$A$4:$A$8,0)))/0.5,0)*INDEX('Rate Card'!$E$4:$E$8,MATCH(B78,'Rate Card'!$A$4:$A$8,0)))</f>
        <v/>
      </c>
      <c r="L78" s="18">
        <f>IF('Shipment Data'!A78="","",IF(C78="COD",MAX('Shipment Data'!E78*INDEX('Rate Card'!$F$4:$F$8,MATCH(B78,'Rate Card'!$A$4:$A$8,0)),INDEX('Rate Card'!$G$4:$G$8,MATCH(B78,'Rate Card'!$A$4:$A$8,0))),0))</f>
        <v/>
      </c>
      <c r="M78" s="18">
        <f>IF('Shipment Data'!A78="","",IF(D78="RTO",(J78+K78)*INDEX('Rate Card'!$H$4:$H$8,MATCH(B78,'Rate Card'!$A$4:$A$8,0)),0))</f>
        <v/>
      </c>
      <c r="N78" s="19">
        <f>IF('Shipment Data'!A78="","",J78+K78+L78+M78)</f>
        <v/>
      </c>
      <c r="O78" s="18">
        <f>IF('Shipment Data'!A78="","",'Shipment Data'!L78)</f>
        <v/>
      </c>
      <c r="P78" s="19">
        <f>IF('Shipment Data'!A78="","",O78-N78)</f>
        <v/>
      </c>
      <c r="Q78" s="6">
        <f>IF('Shipment Data'!A78="","",IF(P78&gt;1,"OVERCHARGED",IF(P78&lt;-1,"UNDERBILLED","MATCH")))</f>
        <v/>
      </c>
    </row>
    <row r="79">
      <c r="A79" s="15">
        <f>IF('Shipment Data'!A79="","",'Shipment Data'!A79)</f>
        <v/>
      </c>
      <c r="B79" s="15">
        <f>IF('Shipment Data'!A79="","",'Shipment Data'!C79)</f>
        <v/>
      </c>
      <c r="C79" s="15">
        <f>IF('Shipment Data'!A79="","",'Shipment Data'!D79)</f>
        <v/>
      </c>
      <c r="D79" s="15">
        <f>IF('Shipment Data'!A79="","",'Shipment Data'!J79)</f>
        <v/>
      </c>
      <c r="E79" s="16">
        <f>IF('Shipment Data'!A79="","",'Shipment Data'!F79)</f>
        <v/>
      </c>
      <c r="F79" s="17">
        <f>IF('Shipment Data'!A79="","",('Shipment Data'!G79*'Shipment Data'!H79*'Shipment Data'!I79)/5000)</f>
        <v/>
      </c>
      <c r="G79" s="17">
        <f>IF('Shipment Data'!A79="","",CEILING(MAX(E79,F79),0.5))</f>
        <v/>
      </c>
      <c r="H79" s="16">
        <f>IF('Shipment Data'!A79="","",'Shipment Data'!K79)</f>
        <v/>
      </c>
      <c r="I79" s="6">
        <f>IF('Shipment Data'!A79="","",IF(H79&gt;G79,"COURIER OVER-ROUNDED WEIGHT","OK"))</f>
        <v/>
      </c>
      <c r="J79" s="18">
        <f>IF('Shipment Data'!A79="","",INDEX('Rate Card'!$D$4:$D$8,MATCH(B79,'Rate Card'!$A$4:$A$8,0)))</f>
        <v/>
      </c>
      <c r="K79" s="18">
        <f>IF('Shipment Data'!A79="","",ROUND((G79-INDEX('Rate Card'!$C$4:$C$8,MATCH(B79,'Rate Card'!$A$4:$A$8,0)))/0.5,0)*INDEX('Rate Card'!$E$4:$E$8,MATCH(B79,'Rate Card'!$A$4:$A$8,0)))</f>
        <v/>
      </c>
      <c r="L79" s="18">
        <f>IF('Shipment Data'!A79="","",IF(C79="COD",MAX('Shipment Data'!E79*INDEX('Rate Card'!$F$4:$F$8,MATCH(B79,'Rate Card'!$A$4:$A$8,0)),INDEX('Rate Card'!$G$4:$G$8,MATCH(B79,'Rate Card'!$A$4:$A$8,0))),0))</f>
        <v/>
      </c>
      <c r="M79" s="18">
        <f>IF('Shipment Data'!A79="","",IF(D79="RTO",(J79+K79)*INDEX('Rate Card'!$H$4:$H$8,MATCH(B79,'Rate Card'!$A$4:$A$8,0)),0))</f>
        <v/>
      </c>
      <c r="N79" s="19">
        <f>IF('Shipment Data'!A79="","",J79+K79+L79+M79)</f>
        <v/>
      </c>
      <c r="O79" s="18">
        <f>IF('Shipment Data'!A79="","",'Shipment Data'!L79)</f>
        <v/>
      </c>
      <c r="P79" s="19">
        <f>IF('Shipment Data'!A79="","",O79-N79)</f>
        <v/>
      </c>
      <c r="Q79" s="6">
        <f>IF('Shipment Data'!A79="","",IF(P79&gt;1,"OVERCHARGED",IF(P79&lt;-1,"UNDERBILLED","MATCH")))</f>
        <v/>
      </c>
    </row>
    <row r="80">
      <c r="A80" s="15">
        <f>IF('Shipment Data'!A80="","",'Shipment Data'!A80)</f>
        <v/>
      </c>
      <c r="B80" s="15">
        <f>IF('Shipment Data'!A80="","",'Shipment Data'!C80)</f>
        <v/>
      </c>
      <c r="C80" s="15">
        <f>IF('Shipment Data'!A80="","",'Shipment Data'!D80)</f>
        <v/>
      </c>
      <c r="D80" s="15">
        <f>IF('Shipment Data'!A80="","",'Shipment Data'!J80)</f>
        <v/>
      </c>
      <c r="E80" s="16">
        <f>IF('Shipment Data'!A80="","",'Shipment Data'!F80)</f>
        <v/>
      </c>
      <c r="F80" s="17">
        <f>IF('Shipment Data'!A80="","",('Shipment Data'!G80*'Shipment Data'!H80*'Shipment Data'!I80)/5000)</f>
        <v/>
      </c>
      <c r="G80" s="17">
        <f>IF('Shipment Data'!A80="","",CEILING(MAX(E80,F80),0.5))</f>
        <v/>
      </c>
      <c r="H80" s="16">
        <f>IF('Shipment Data'!A80="","",'Shipment Data'!K80)</f>
        <v/>
      </c>
      <c r="I80" s="6">
        <f>IF('Shipment Data'!A80="","",IF(H80&gt;G80,"COURIER OVER-ROUNDED WEIGHT","OK"))</f>
        <v/>
      </c>
      <c r="J80" s="18">
        <f>IF('Shipment Data'!A80="","",INDEX('Rate Card'!$D$4:$D$8,MATCH(B80,'Rate Card'!$A$4:$A$8,0)))</f>
        <v/>
      </c>
      <c r="K80" s="18">
        <f>IF('Shipment Data'!A80="","",ROUND((G80-INDEX('Rate Card'!$C$4:$C$8,MATCH(B80,'Rate Card'!$A$4:$A$8,0)))/0.5,0)*INDEX('Rate Card'!$E$4:$E$8,MATCH(B80,'Rate Card'!$A$4:$A$8,0)))</f>
        <v/>
      </c>
      <c r="L80" s="18">
        <f>IF('Shipment Data'!A80="","",IF(C80="COD",MAX('Shipment Data'!E80*INDEX('Rate Card'!$F$4:$F$8,MATCH(B80,'Rate Card'!$A$4:$A$8,0)),INDEX('Rate Card'!$G$4:$G$8,MATCH(B80,'Rate Card'!$A$4:$A$8,0))),0))</f>
        <v/>
      </c>
      <c r="M80" s="18">
        <f>IF('Shipment Data'!A80="","",IF(D80="RTO",(J80+K80)*INDEX('Rate Card'!$H$4:$H$8,MATCH(B80,'Rate Card'!$A$4:$A$8,0)),0))</f>
        <v/>
      </c>
      <c r="N80" s="19">
        <f>IF('Shipment Data'!A80="","",J80+K80+L80+M80)</f>
        <v/>
      </c>
      <c r="O80" s="18">
        <f>IF('Shipment Data'!A80="","",'Shipment Data'!L80)</f>
        <v/>
      </c>
      <c r="P80" s="19">
        <f>IF('Shipment Data'!A80="","",O80-N80)</f>
        <v/>
      </c>
      <c r="Q80" s="6">
        <f>IF('Shipment Data'!A80="","",IF(P80&gt;1,"OVERCHARGED",IF(P80&lt;-1,"UNDERBILLED","MATCH")))</f>
        <v/>
      </c>
    </row>
    <row r="81">
      <c r="A81" s="15">
        <f>IF('Shipment Data'!A81="","",'Shipment Data'!A81)</f>
        <v/>
      </c>
      <c r="B81" s="15">
        <f>IF('Shipment Data'!A81="","",'Shipment Data'!C81)</f>
        <v/>
      </c>
      <c r="C81" s="15">
        <f>IF('Shipment Data'!A81="","",'Shipment Data'!D81)</f>
        <v/>
      </c>
      <c r="D81" s="15">
        <f>IF('Shipment Data'!A81="","",'Shipment Data'!J81)</f>
        <v/>
      </c>
      <c r="E81" s="16">
        <f>IF('Shipment Data'!A81="","",'Shipment Data'!F81)</f>
        <v/>
      </c>
      <c r="F81" s="17">
        <f>IF('Shipment Data'!A81="","",('Shipment Data'!G81*'Shipment Data'!H81*'Shipment Data'!I81)/5000)</f>
        <v/>
      </c>
      <c r="G81" s="17">
        <f>IF('Shipment Data'!A81="","",CEILING(MAX(E81,F81),0.5))</f>
        <v/>
      </c>
      <c r="H81" s="16">
        <f>IF('Shipment Data'!A81="","",'Shipment Data'!K81)</f>
        <v/>
      </c>
      <c r="I81" s="6">
        <f>IF('Shipment Data'!A81="","",IF(H81&gt;G81,"COURIER OVER-ROUNDED WEIGHT","OK"))</f>
        <v/>
      </c>
      <c r="J81" s="18">
        <f>IF('Shipment Data'!A81="","",INDEX('Rate Card'!$D$4:$D$8,MATCH(B81,'Rate Card'!$A$4:$A$8,0)))</f>
        <v/>
      </c>
      <c r="K81" s="18">
        <f>IF('Shipment Data'!A81="","",ROUND((G81-INDEX('Rate Card'!$C$4:$C$8,MATCH(B81,'Rate Card'!$A$4:$A$8,0)))/0.5,0)*INDEX('Rate Card'!$E$4:$E$8,MATCH(B81,'Rate Card'!$A$4:$A$8,0)))</f>
        <v/>
      </c>
      <c r="L81" s="18">
        <f>IF('Shipment Data'!A81="","",IF(C81="COD",MAX('Shipment Data'!E81*INDEX('Rate Card'!$F$4:$F$8,MATCH(B81,'Rate Card'!$A$4:$A$8,0)),INDEX('Rate Card'!$G$4:$G$8,MATCH(B81,'Rate Card'!$A$4:$A$8,0))),0))</f>
        <v/>
      </c>
      <c r="M81" s="18">
        <f>IF('Shipment Data'!A81="","",IF(D81="RTO",(J81+K81)*INDEX('Rate Card'!$H$4:$H$8,MATCH(B81,'Rate Card'!$A$4:$A$8,0)),0))</f>
        <v/>
      </c>
      <c r="N81" s="19">
        <f>IF('Shipment Data'!A81="","",J81+K81+L81+M81)</f>
        <v/>
      </c>
      <c r="O81" s="18">
        <f>IF('Shipment Data'!A81="","",'Shipment Data'!L81)</f>
        <v/>
      </c>
      <c r="P81" s="19">
        <f>IF('Shipment Data'!A81="","",O81-N81)</f>
        <v/>
      </c>
      <c r="Q81" s="6">
        <f>IF('Shipment Data'!A81="","",IF(P81&gt;1,"OVERCHARGED",IF(P81&lt;-1,"UNDERBILLED","MATCH")))</f>
        <v/>
      </c>
    </row>
    <row r="82">
      <c r="A82" s="15">
        <f>IF('Shipment Data'!A82="","",'Shipment Data'!A82)</f>
        <v/>
      </c>
      <c r="B82" s="15">
        <f>IF('Shipment Data'!A82="","",'Shipment Data'!C82)</f>
        <v/>
      </c>
      <c r="C82" s="15">
        <f>IF('Shipment Data'!A82="","",'Shipment Data'!D82)</f>
        <v/>
      </c>
      <c r="D82" s="15">
        <f>IF('Shipment Data'!A82="","",'Shipment Data'!J82)</f>
        <v/>
      </c>
      <c r="E82" s="16">
        <f>IF('Shipment Data'!A82="","",'Shipment Data'!F82)</f>
        <v/>
      </c>
      <c r="F82" s="17">
        <f>IF('Shipment Data'!A82="","",('Shipment Data'!G82*'Shipment Data'!H82*'Shipment Data'!I82)/5000)</f>
        <v/>
      </c>
      <c r="G82" s="17">
        <f>IF('Shipment Data'!A82="","",CEILING(MAX(E82,F82),0.5))</f>
        <v/>
      </c>
      <c r="H82" s="16">
        <f>IF('Shipment Data'!A82="","",'Shipment Data'!K82)</f>
        <v/>
      </c>
      <c r="I82" s="6">
        <f>IF('Shipment Data'!A82="","",IF(H82&gt;G82,"COURIER OVER-ROUNDED WEIGHT","OK"))</f>
        <v/>
      </c>
      <c r="J82" s="18">
        <f>IF('Shipment Data'!A82="","",INDEX('Rate Card'!$D$4:$D$8,MATCH(B82,'Rate Card'!$A$4:$A$8,0)))</f>
        <v/>
      </c>
      <c r="K82" s="18">
        <f>IF('Shipment Data'!A82="","",ROUND((G82-INDEX('Rate Card'!$C$4:$C$8,MATCH(B82,'Rate Card'!$A$4:$A$8,0)))/0.5,0)*INDEX('Rate Card'!$E$4:$E$8,MATCH(B82,'Rate Card'!$A$4:$A$8,0)))</f>
        <v/>
      </c>
      <c r="L82" s="18">
        <f>IF('Shipment Data'!A82="","",IF(C82="COD",MAX('Shipment Data'!E82*INDEX('Rate Card'!$F$4:$F$8,MATCH(B82,'Rate Card'!$A$4:$A$8,0)),INDEX('Rate Card'!$G$4:$G$8,MATCH(B82,'Rate Card'!$A$4:$A$8,0))),0))</f>
        <v/>
      </c>
      <c r="M82" s="18">
        <f>IF('Shipment Data'!A82="","",IF(D82="RTO",(J82+K82)*INDEX('Rate Card'!$H$4:$H$8,MATCH(B82,'Rate Card'!$A$4:$A$8,0)),0))</f>
        <v/>
      </c>
      <c r="N82" s="19">
        <f>IF('Shipment Data'!A82="","",J82+K82+L82+M82)</f>
        <v/>
      </c>
      <c r="O82" s="18">
        <f>IF('Shipment Data'!A82="","",'Shipment Data'!L82)</f>
        <v/>
      </c>
      <c r="P82" s="19">
        <f>IF('Shipment Data'!A82="","",O82-N82)</f>
        <v/>
      </c>
      <c r="Q82" s="6">
        <f>IF('Shipment Data'!A82="","",IF(P82&gt;1,"OVERCHARGED",IF(P82&lt;-1,"UNDERBILLED","MATCH")))</f>
        <v/>
      </c>
    </row>
    <row r="83">
      <c r="A83" s="15">
        <f>IF('Shipment Data'!A83="","",'Shipment Data'!A83)</f>
        <v/>
      </c>
      <c r="B83" s="15">
        <f>IF('Shipment Data'!A83="","",'Shipment Data'!C83)</f>
        <v/>
      </c>
      <c r="C83" s="15">
        <f>IF('Shipment Data'!A83="","",'Shipment Data'!D83)</f>
        <v/>
      </c>
      <c r="D83" s="15">
        <f>IF('Shipment Data'!A83="","",'Shipment Data'!J83)</f>
        <v/>
      </c>
      <c r="E83" s="16">
        <f>IF('Shipment Data'!A83="","",'Shipment Data'!F83)</f>
        <v/>
      </c>
      <c r="F83" s="17">
        <f>IF('Shipment Data'!A83="","",('Shipment Data'!G83*'Shipment Data'!H83*'Shipment Data'!I83)/5000)</f>
        <v/>
      </c>
      <c r="G83" s="17">
        <f>IF('Shipment Data'!A83="","",CEILING(MAX(E83,F83),0.5))</f>
        <v/>
      </c>
      <c r="H83" s="16">
        <f>IF('Shipment Data'!A83="","",'Shipment Data'!K83)</f>
        <v/>
      </c>
      <c r="I83" s="6">
        <f>IF('Shipment Data'!A83="","",IF(H83&gt;G83,"COURIER OVER-ROUNDED WEIGHT","OK"))</f>
        <v/>
      </c>
      <c r="J83" s="18">
        <f>IF('Shipment Data'!A83="","",INDEX('Rate Card'!$D$4:$D$8,MATCH(B83,'Rate Card'!$A$4:$A$8,0)))</f>
        <v/>
      </c>
      <c r="K83" s="18">
        <f>IF('Shipment Data'!A83="","",ROUND((G83-INDEX('Rate Card'!$C$4:$C$8,MATCH(B83,'Rate Card'!$A$4:$A$8,0)))/0.5,0)*INDEX('Rate Card'!$E$4:$E$8,MATCH(B83,'Rate Card'!$A$4:$A$8,0)))</f>
        <v/>
      </c>
      <c r="L83" s="18">
        <f>IF('Shipment Data'!A83="","",IF(C83="COD",MAX('Shipment Data'!E83*INDEX('Rate Card'!$F$4:$F$8,MATCH(B83,'Rate Card'!$A$4:$A$8,0)),INDEX('Rate Card'!$G$4:$G$8,MATCH(B83,'Rate Card'!$A$4:$A$8,0))),0))</f>
        <v/>
      </c>
      <c r="M83" s="18">
        <f>IF('Shipment Data'!A83="","",IF(D83="RTO",(J83+K83)*INDEX('Rate Card'!$H$4:$H$8,MATCH(B83,'Rate Card'!$A$4:$A$8,0)),0))</f>
        <v/>
      </c>
      <c r="N83" s="19">
        <f>IF('Shipment Data'!A83="","",J83+K83+L83+M83)</f>
        <v/>
      </c>
      <c r="O83" s="18">
        <f>IF('Shipment Data'!A83="","",'Shipment Data'!L83)</f>
        <v/>
      </c>
      <c r="P83" s="19">
        <f>IF('Shipment Data'!A83="","",O83-N83)</f>
        <v/>
      </c>
      <c r="Q83" s="6">
        <f>IF('Shipment Data'!A83="","",IF(P83&gt;1,"OVERCHARGED",IF(P83&lt;-1,"UNDERBILLED","MATCH")))</f>
        <v/>
      </c>
    </row>
    <row r="84">
      <c r="A84" s="15">
        <f>IF('Shipment Data'!A84="","",'Shipment Data'!A84)</f>
        <v/>
      </c>
      <c r="B84" s="15">
        <f>IF('Shipment Data'!A84="","",'Shipment Data'!C84)</f>
        <v/>
      </c>
      <c r="C84" s="15">
        <f>IF('Shipment Data'!A84="","",'Shipment Data'!D84)</f>
        <v/>
      </c>
      <c r="D84" s="15">
        <f>IF('Shipment Data'!A84="","",'Shipment Data'!J84)</f>
        <v/>
      </c>
      <c r="E84" s="16">
        <f>IF('Shipment Data'!A84="","",'Shipment Data'!F84)</f>
        <v/>
      </c>
      <c r="F84" s="17">
        <f>IF('Shipment Data'!A84="","",('Shipment Data'!G84*'Shipment Data'!H84*'Shipment Data'!I84)/5000)</f>
        <v/>
      </c>
      <c r="G84" s="17">
        <f>IF('Shipment Data'!A84="","",CEILING(MAX(E84,F84),0.5))</f>
        <v/>
      </c>
      <c r="H84" s="16">
        <f>IF('Shipment Data'!A84="","",'Shipment Data'!K84)</f>
        <v/>
      </c>
      <c r="I84" s="6">
        <f>IF('Shipment Data'!A84="","",IF(H84&gt;G84,"COURIER OVER-ROUNDED WEIGHT","OK"))</f>
        <v/>
      </c>
      <c r="J84" s="18">
        <f>IF('Shipment Data'!A84="","",INDEX('Rate Card'!$D$4:$D$8,MATCH(B84,'Rate Card'!$A$4:$A$8,0)))</f>
        <v/>
      </c>
      <c r="K84" s="18">
        <f>IF('Shipment Data'!A84="","",ROUND((G84-INDEX('Rate Card'!$C$4:$C$8,MATCH(B84,'Rate Card'!$A$4:$A$8,0)))/0.5,0)*INDEX('Rate Card'!$E$4:$E$8,MATCH(B84,'Rate Card'!$A$4:$A$8,0)))</f>
        <v/>
      </c>
      <c r="L84" s="18">
        <f>IF('Shipment Data'!A84="","",IF(C84="COD",MAX('Shipment Data'!E84*INDEX('Rate Card'!$F$4:$F$8,MATCH(B84,'Rate Card'!$A$4:$A$8,0)),INDEX('Rate Card'!$G$4:$G$8,MATCH(B84,'Rate Card'!$A$4:$A$8,0))),0))</f>
        <v/>
      </c>
      <c r="M84" s="18">
        <f>IF('Shipment Data'!A84="","",IF(D84="RTO",(J84+K84)*INDEX('Rate Card'!$H$4:$H$8,MATCH(B84,'Rate Card'!$A$4:$A$8,0)),0))</f>
        <v/>
      </c>
      <c r="N84" s="19">
        <f>IF('Shipment Data'!A84="","",J84+K84+L84+M84)</f>
        <v/>
      </c>
      <c r="O84" s="18">
        <f>IF('Shipment Data'!A84="","",'Shipment Data'!L84)</f>
        <v/>
      </c>
      <c r="P84" s="19">
        <f>IF('Shipment Data'!A84="","",O84-N84)</f>
        <v/>
      </c>
      <c r="Q84" s="6">
        <f>IF('Shipment Data'!A84="","",IF(P84&gt;1,"OVERCHARGED",IF(P84&lt;-1,"UNDERBILLED","MATCH")))</f>
        <v/>
      </c>
    </row>
    <row r="85">
      <c r="A85" s="15">
        <f>IF('Shipment Data'!A85="","",'Shipment Data'!A85)</f>
        <v/>
      </c>
      <c r="B85" s="15">
        <f>IF('Shipment Data'!A85="","",'Shipment Data'!C85)</f>
        <v/>
      </c>
      <c r="C85" s="15">
        <f>IF('Shipment Data'!A85="","",'Shipment Data'!D85)</f>
        <v/>
      </c>
      <c r="D85" s="15">
        <f>IF('Shipment Data'!A85="","",'Shipment Data'!J85)</f>
        <v/>
      </c>
      <c r="E85" s="16">
        <f>IF('Shipment Data'!A85="","",'Shipment Data'!F85)</f>
        <v/>
      </c>
      <c r="F85" s="17">
        <f>IF('Shipment Data'!A85="","",('Shipment Data'!G85*'Shipment Data'!H85*'Shipment Data'!I85)/5000)</f>
        <v/>
      </c>
      <c r="G85" s="17">
        <f>IF('Shipment Data'!A85="","",CEILING(MAX(E85,F85),0.5))</f>
        <v/>
      </c>
      <c r="H85" s="16">
        <f>IF('Shipment Data'!A85="","",'Shipment Data'!K85)</f>
        <v/>
      </c>
      <c r="I85" s="6">
        <f>IF('Shipment Data'!A85="","",IF(H85&gt;G85,"COURIER OVER-ROUNDED WEIGHT","OK"))</f>
        <v/>
      </c>
      <c r="J85" s="18">
        <f>IF('Shipment Data'!A85="","",INDEX('Rate Card'!$D$4:$D$8,MATCH(B85,'Rate Card'!$A$4:$A$8,0)))</f>
        <v/>
      </c>
      <c r="K85" s="18">
        <f>IF('Shipment Data'!A85="","",ROUND((G85-INDEX('Rate Card'!$C$4:$C$8,MATCH(B85,'Rate Card'!$A$4:$A$8,0)))/0.5,0)*INDEX('Rate Card'!$E$4:$E$8,MATCH(B85,'Rate Card'!$A$4:$A$8,0)))</f>
        <v/>
      </c>
      <c r="L85" s="18">
        <f>IF('Shipment Data'!A85="","",IF(C85="COD",MAX('Shipment Data'!E85*INDEX('Rate Card'!$F$4:$F$8,MATCH(B85,'Rate Card'!$A$4:$A$8,0)),INDEX('Rate Card'!$G$4:$G$8,MATCH(B85,'Rate Card'!$A$4:$A$8,0))),0))</f>
        <v/>
      </c>
      <c r="M85" s="18">
        <f>IF('Shipment Data'!A85="","",IF(D85="RTO",(J85+K85)*INDEX('Rate Card'!$H$4:$H$8,MATCH(B85,'Rate Card'!$A$4:$A$8,0)),0))</f>
        <v/>
      </c>
      <c r="N85" s="19">
        <f>IF('Shipment Data'!A85="","",J85+K85+L85+M85)</f>
        <v/>
      </c>
      <c r="O85" s="18">
        <f>IF('Shipment Data'!A85="","",'Shipment Data'!L85)</f>
        <v/>
      </c>
      <c r="P85" s="19">
        <f>IF('Shipment Data'!A85="","",O85-N85)</f>
        <v/>
      </c>
      <c r="Q85" s="6">
        <f>IF('Shipment Data'!A85="","",IF(P85&gt;1,"OVERCHARGED",IF(P85&lt;-1,"UNDERBILLED","MATCH")))</f>
        <v/>
      </c>
    </row>
    <row r="86">
      <c r="A86" s="15">
        <f>IF('Shipment Data'!A86="","",'Shipment Data'!A86)</f>
        <v/>
      </c>
      <c r="B86" s="15">
        <f>IF('Shipment Data'!A86="","",'Shipment Data'!C86)</f>
        <v/>
      </c>
      <c r="C86" s="15">
        <f>IF('Shipment Data'!A86="","",'Shipment Data'!D86)</f>
        <v/>
      </c>
      <c r="D86" s="15">
        <f>IF('Shipment Data'!A86="","",'Shipment Data'!J86)</f>
        <v/>
      </c>
      <c r="E86" s="16">
        <f>IF('Shipment Data'!A86="","",'Shipment Data'!F86)</f>
        <v/>
      </c>
      <c r="F86" s="17">
        <f>IF('Shipment Data'!A86="","",('Shipment Data'!G86*'Shipment Data'!H86*'Shipment Data'!I86)/5000)</f>
        <v/>
      </c>
      <c r="G86" s="17">
        <f>IF('Shipment Data'!A86="","",CEILING(MAX(E86,F86),0.5))</f>
        <v/>
      </c>
      <c r="H86" s="16">
        <f>IF('Shipment Data'!A86="","",'Shipment Data'!K86)</f>
        <v/>
      </c>
      <c r="I86" s="6">
        <f>IF('Shipment Data'!A86="","",IF(H86&gt;G86,"COURIER OVER-ROUNDED WEIGHT","OK"))</f>
        <v/>
      </c>
      <c r="J86" s="18">
        <f>IF('Shipment Data'!A86="","",INDEX('Rate Card'!$D$4:$D$8,MATCH(B86,'Rate Card'!$A$4:$A$8,0)))</f>
        <v/>
      </c>
      <c r="K86" s="18">
        <f>IF('Shipment Data'!A86="","",ROUND((G86-INDEX('Rate Card'!$C$4:$C$8,MATCH(B86,'Rate Card'!$A$4:$A$8,0)))/0.5,0)*INDEX('Rate Card'!$E$4:$E$8,MATCH(B86,'Rate Card'!$A$4:$A$8,0)))</f>
        <v/>
      </c>
      <c r="L86" s="18">
        <f>IF('Shipment Data'!A86="","",IF(C86="COD",MAX('Shipment Data'!E86*INDEX('Rate Card'!$F$4:$F$8,MATCH(B86,'Rate Card'!$A$4:$A$8,0)),INDEX('Rate Card'!$G$4:$G$8,MATCH(B86,'Rate Card'!$A$4:$A$8,0))),0))</f>
        <v/>
      </c>
      <c r="M86" s="18">
        <f>IF('Shipment Data'!A86="","",IF(D86="RTO",(J86+K86)*INDEX('Rate Card'!$H$4:$H$8,MATCH(B86,'Rate Card'!$A$4:$A$8,0)),0))</f>
        <v/>
      </c>
      <c r="N86" s="19">
        <f>IF('Shipment Data'!A86="","",J86+K86+L86+M86)</f>
        <v/>
      </c>
      <c r="O86" s="18">
        <f>IF('Shipment Data'!A86="","",'Shipment Data'!L86)</f>
        <v/>
      </c>
      <c r="P86" s="19">
        <f>IF('Shipment Data'!A86="","",O86-N86)</f>
        <v/>
      </c>
      <c r="Q86" s="6">
        <f>IF('Shipment Data'!A86="","",IF(P86&gt;1,"OVERCHARGED",IF(P86&lt;-1,"UNDERBILLED","MATCH")))</f>
        <v/>
      </c>
    </row>
    <row r="87">
      <c r="A87" s="15">
        <f>IF('Shipment Data'!A87="","",'Shipment Data'!A87)</f>
        <v/>
      </c>
      <c r="B87" s="15">
        <f>IF('Shipment Data'!A87="","",'Shipment Data'!C87)</f>
        <v/>
      </c>
      <c r="C87" s="15">
        <f>IF('Shipment Data'!A87="","",'Shipment Data'!D87)</f>
        <v/>
      </c>
      <c r="D87" s="15">
        <f>IF('Shipment Data'!A87="","",'Shipment Data'!J87)</f>
        <v/>
      </c>
      <c r="E87" s="16">
        <f>IF('Shipment Data'!A87="","",'Shipment Data'!F87)</f>
        <v/>
      </c>
      <c r="F87" s="17">
        <f>IF('Shipment Data'!A87="","",('Shipment Data'!G87*'Shipment Data'!H87*'Shipment Data'!I87)/5000)</f>
        <v/>
      </c>
      <c r="G87" s="17">
        <f>IF('Shipment Data'!A87="","",CEILING(MAX(E87,F87),0.5))</f>
        <v/>
      </c>
      <c r="H87" s="16">
        <f>IF('Shipment Data'!A87="","",'Shipment Data'!K87)</f>
        <v/>
      </c>
      <c r="I87" s="6">
        <f>IF('Shipment Data'!A87="","",IF(H87&gt;G87,"COURIER OVER-ROUNDED WEIGHT","OK"))</f>
        <v/>
      </c>
      <c r="J87" s="18">
        <f>IF('Shipment Data'!A87="","",INDEX('Rate Card'!$D$4:$D$8,MATCH(B87,'Rate Card'!$A$4:$A$8,0)))</f>
        <v/>
      </c>
      <c r="K87" s="18">
        <f>IF('Shipment Data'!A87="","",ROUND((G87-INDEX('Rate Card'!$C$4:$C$8,MATCH(B87,'Rate Card'!$A$4:$A$8,0)))/0.5,0)*INDEX('Rate Card'!$E$4:$E$8,MATCH(B87,'Rate Card'!$A$4:$A$8,0)))</f>
        <v/>
      </c>
      <c r="L87" s="18">
        <f>IF('Shipment Data'!A87="","",IF(C87="COD",MAX('Shipment Data'!E87*INDEX('Rate Card'!$F$4:$F$8,MATCH(B87,'Rate Card'!$A$4:$A$8,0)),INDEX('Rate Card'!$G$4:$G$8,MATCH(B87,'Rate Card'!$A$4:$A$8,0))),0))</f>
        <v/>
      </c>
      <c r="M87" s="18">
        <f>IF('Shipment Data'!A87="","",IF(D87="RTO",(J87+K87)*INDEX('Rate Card'!$H$4:$H$8,MATCH(B87,'Rate Card'!$A$4:$A$8,0)),0))</f>
        <v/>
      </c>
      <c r="N87" s="19">
        <f>IF('Shipment Data'!A87="","",J87+K87+L87+M87)</f>
        <v/>
      </c>
      <c r="O87" s="18">
        <f>IF('Shipment Data'!A87="","",'Shipment Data'!L87)</f>
        <v/>
      </c>
      <c r="P87" s="19">
        <f>IF('Shipment Data'!A87="","",O87-N87)</f>
        <v/>
      </c>
      <c r="Q87" s="6">
        <f>IF('Shipment Data'!A87="","",IF(P87&gt;1,"OVERCHARGED",IF(P87&lt;-1,"UNDERBILLED","MATCH")))</f>
        <v/>
      </c>
    </row>
    <row r="88">
      <c r="A88" s="15">
        <f>IF('Shipment Data'!A88="","",'Shipment Data'!A88)</f>
        <v/>
      </c>
      <c r="B88" s="15">
        <f>IF('Shipment Data'!A88="","",'Shipment Data'!C88)</f>
        <v/>
      </c>
      <c r="C88" s="15">
        <f>IF('Shipment Data'!A88="","",'Shipment Data'!D88)</f>
        <v/>
      </c>
      <c r="D88" s="15">
        <f>IF('Shipment Data'!A88="","",'Shipment Data'!J88)</f>
        <v/>
      </c>
      <c r="E88" s="16">
        <f>IF('Shipment Data'!A88="","",'Shipment Data'!F88)</f>
        <v/>
      </c>
      <c r="F88" s="17">
        <f>IF('Shipment Data'!A88="","",('Shipment Data'!G88*'Shipment Data'!H88*'Shipment Data'!I88)/5000)</f>
        <v/>
      </c>
      <c r="G88" s="17">
        <f>IF('Shipment Data'!A88="","",CEILING(MAX(E88,F88),0.5))</f>
        <v/>
      </c>
      <c r="H88" s="16">
        <f>IF('Shipment Data'!A88="","",'Shipment Data'!K88)</f>
        <v/>
      </c>
      <c r="I88" s="6">
        <f>IF('Shipment Data'!A88="","",IF(H88&gt;G88,"COURIER OVER-ROUNDED WEIGHT","OK"))</f>
        <v/>
      </c>
      <c r="J88" s="18">
        <f>IF('Shipment Data'!A88="","",INDEX('Rate Card'!$D$4:$D$8,MATCH(B88,'Rate Card'!$A$4:$A$8,0)))</f>
        <v/>
      </c>
      <c r="K88" s="18">
        <f>IF('Shipment Data'!A88="","",ROUND((G88-INDEX('Rate Card'!$C$4:$C$8,MATCH(B88,'Rate Card'!$A$4:$A$8,0)))/0.5,0)*INDEX('Rate Card'!$E$4:$E$8,MATCH(B88,'Rate Card'!$A$4:$A$8,0)))</f>
        <v/>
      </c>
      <c r="L88" s="18">
        <f>IF('Shipment Data'!A88="","",IF(C88="COD",MAX('Shipment Data'!E88*INDEX('Rate Card'!$F$4:$F$8,MATCH(B88,'Rate Card'!$A$4:$A$8,0)),INDEX('Rate Card'!$G$4:$G$8,MATCH(B88,'Rate Card'!$A$4:$A$8,0))),0))</f>
        <v/>
      </c>
      <c r="M88" s="18">
        <f>IF('Shipment Data'!A88="","",IF(D88="RTO",(J88+K88)*INDEX('Rate Card'!$H$4:$H$8,MATCH(B88,'Rate Card'!$A$4:$A$8,0)),0))</f>
        <v/>
      </c>
      <c r="N88" s="19">
        <f>IF('Shipment Data'!A88="","",J88+K88+L88+M88)</f>
        <v/>
      </c>
      <c r="O88" s="18">
        <f>IF('Shipment Data'!A88="","",'Shipment Data'!L88)</f>
        <v/>
      </c>
      <c r="P88" s="19">
        <f>IF('Shipment Data'!A88="","",O88-N88)</f>
        <v/>
      </c>
      <c r="Q88" s="6">
        <f>IF('Shipment Data'!A88="","",IF(P88&gt;1,"OVERCHARGED",IF(P88&lt;-1,"UNDERBILLED","MATCH")))</f>
        <v/>
      </c>
    </row>
    <row r="89">
      <c r="A89" s="15">
        <f>IF('Shipment Data'!A89="","",'Shipment Data'!A89)</f>
        <v/>
      </c>
      <c r="B89" s="15">
        <f>IF('Shipment Data'!A89="","",'Shipment Data'!C89)</f>
        <v/>
      </c>
      <c r="C89" s="15">
        <f>IF('Shipment Data'!A89="","",'Shipment Data'!D89)</f>
        <v/>
      </c>
      <c r="D89" s="15">
        <f>IF('Shipment Data'!A89="","",'Shipment Data'!J89)</f>
        <v/>
      </c>
      <c r="E89" s="16">
        <f>IF('Shipment Data'!A89="","",'Shipment Data'!F89)</f>
        <v/>
      </c>
      <c r="F89" s="17">
        <f>IF('Shipment Data'!A89="","",('Shipment Data'!G89*'Shipment Data'!H89*'Shipment Data'!I89)/5000)</f>
        <v/>
      </c>
      <c r="G89" s="17">
        <f>IF('Shipment Data'!A89="","",CEILING(MAX(E89,F89),0.5))</f>
        <v/>
      </c>
      <c r="H89" s="16">
        <f>IF('Shipment Data'!A89="","",'Shipment Data'!K89)</f>
        <v/>
      </c>
      <c r="I89" s="6">
        <f>IF('Shipment Data'!A89="","",IF(H89&gt;G89,"COURIER OVER-ROUNDED WEIGHT","OK"))</f>
        <v/>
      </c>
      <c r="J89" s="18">
        <f>IF('Shipment Data'!A89="","",INDEX('Rate Card'!$D$4:$D$8,MATCH(B89,'Rate Card'!$A$4:$A$8,0)))</f>
        <v/>
      </c>
      <c r="K89" s="18">
        <f>IF('Shipment Data'!A89="","",ROUND((G89-INDEX('Rate Card'!$C$4:$C$8,MATCH(B89,'Rate Card'!$A$4:$A$8,0)))/0.5,0)*INDEX('Rate Card'!$E$4:$E$8,MATCH(B89,'Rate Card'!$A$4:$A$8,0)))</f>
        <v/>
      </c>
      <c r="L89" s="18">
        <f>IF('Shipment Data'!A89="","",IF(C89="COD",MAX('Shipment Data'!E89*INDEX('Rate Card'!$F$4:$F$8,MATCH(B89,'Rate Card'!$A$4:$A$8,0)),INDEX('Rate Card'!$G$4:$G$8,MATCH(B89,'Rate Card'!$A$4:$A$8,0))),0))</f>
        <v/>
      </c>
      <c r="M89" s="18">
        <f>IF('Shipment Data'!A89="","",IF(D89="RTO",(J89+K89)*INDEX('Rate Card'!$H$4:$H$8,MATCH(B89,'Rate Card'!$A$4:$A$8,0)),0))</f>
        <v/>
      </c>
      <c r="N89" s="19">
        <f>IF('Shipment Data'!A89="","",J89+K89+L89+M89)</f>
        <v/>
      </c>
      <c r="O89" s="18">
        <f>IF('Shipment Data'!A89="","",'Shipment Data'!L89)</f>
        <v/>
      </c>
      <c r="P89" s="19">
        <f>IF('Shipment Data'!A89="","",O89-N89)</f>
        <v/>
      </c>
      <c r="Q89" s="6">
        <f>IF('Shipment Data'!A89="","",IF(P89&gt;1,"OVERCHARGED",IF(P89&lt;-1,"UNDERBILLED","MATCH")))</f>
        <v/>
      </c>
    </row>
    <row r="90">
      <c r="A90" s="15">
        <f>IF('Shipment Data'!A90="","",'Shipment Data'!A90)</f>
        <v/>
      </c>
      <c r="B90" s="15">
        <f>IF('Shipment Data'!A90="","",'Shipment Data'!C90)</f>
        <v/>
      </c>
      <c r="C90" s="15">
        <f>IF('Shipment Data'!A90="","",'Shipment Data'!D90)</f>
        <v/>
      </c>
      <c r="D90" s="15">
        <f>IF('Shipment Data'!A90="","",'Shipment Data'!J90)</f>
        <v/>
      </c>
      <c r="E90" s="16">
        <f>IF('Shipment Data'!A90="","",'Shipment Data'!F90)</f>
        <v/>
      </c>
      <c r="F90" s="17">
        <f>IF('Shipment Data'!A90="","",('Shipment Data'!G90*'Shipment Data'!H90*'Shipment Data'!I90)/5000)</f>
        <v/>
      </c>
      <c r="G90" s="17">
        <f>IF('Shipment Data'!A90="","",CEILING(MAX(E90,F90),0.5))</f>
        <v/>
      </c>
      <c r="H90" s="16">
        <f>IF('Shipment Data'!A90="","",'Shipment Data'!K90)</f>
        <v/>
      </c>
      <c r="I90" s="6">
        <f>IF('Shipment Data'!A90="","",IF(H90&gt;G90,"COURIER OVER-ROUNDED WEIGHT","OK"))</f>
        <v/>
      </c>
      <c r="J90" s="18">
        <f>IF('Shipment Data'!A90="","",INDEX('Rate Card'!$D$4:$D$8,MATCH(B90,'Rate Card'!$A$4:$A$8,0)))</f>
        <v/>
      </c>
      <c r="K90" s="18">
        <f>IF('Shipment Data'!A90="","",ROUND((G90-INDEX('Rate Card'!$C$4:$C$8,MATCH(B90,'Rate Card'!$A$4:$A$8,0)))/0.5,0)*INDEX('Rate Card'!$E$4:$E$8,MATCH(B90,'Rate Card'!$A$4:$A$8,0)))</f>
        <v/>
      </c>
      <c r="L90" s="18">
        <f>IF('Shipment Data'!A90="","",IF(C90="COD",MAX('Shipment Data'!E90*INDEX('Rate Card'!$F$4:$F$8,MATCH(B90,'Rate Card'!$A$4:$A$8,0)),INDEX('Rate Card'!$G$4:$G$8,MATCH(B90,'Rate Card'!$A$4:$A$8,0))),0))</f>
        <v/>
      </c>
      <c r="M90" s="18">
        <f>IF('Shipment Data'!A90="","",IF(D90="RTO",(J90+K90)*INDEX('Rate Card'!$H$4:$H$8,MATCH(B90,'Rate Card'!$A$4:$A$8,0)),0))</f>
        <v/>
      </c>
      <c r="N90" s="19">
        <f>IF('Shipment Data'!A90="","",J90+K90+L90+M90)</f>
        <v/>
      </c>
      <c r="O90" s="18">
        <f>IF('Shipment Data'!A90="","",'Shipment Data'!L90)</f>
        <v/>
      </c>
      <c r="P90" s="19">
        <f>IF('Shipment Data'!A90="","",O90-N90)</f>
        <v/>
      </c>
      <c r="Q90" s="6">
        <f>IF('Shipment Data'!A90="","",IF(P90&gt;1,"OVERCHARGED",IF(P90&lt;-1,"UNDERBILLED","MATCH")))</f>
        <v/>
      </c>
    </row>
    <row r="91">
      <c r="A91" s="15">
        <f>IF('Shipment Data'!A91="","",'Shipment Data'!A91)</f>
        <v/>
      </c>
      <c r="B91" s="15">
        <f>IF('Shipment Data'!A91="","",'Shipment Data'!C91)</f>
        <v/>
      </c>
      <c r="C91" s="15">
        <f>IF('Shipment Data'!A91="","",'Shipment Data'!D91)</f>
        <v/>
      </c>
      <c r="D91" s="15">
        <f>IF('Shipment Data'!A91="","",'Shipment Data'!J91)</f>
        <v/>
      </c>
      <c r="E91" s="16">
        <f>IF('Shipment Data'!A91="","",'Shipment Data'!F91)</f>
        <v/>
      </c>
      <c r="F91" s="17">
        <f>IF('Shipment Data'!A91="","",('Shipment Data'!G91*'Shipment Data'!H91*'Shipment Data'!I91)/5000)</f>
        <v/>
      </c>
      <c r="G91" s="17">
        <f>IF('Shipment Data'!A91="","",CEILING(MAX(E91,F91),0.5))</f>
        <v/>
      </c>
      <c r="H91" s="16">
        <f>IF('Shipment Data'!A91="","",'Shipment Data'!K91)</f>
        <v/>
      </c>
      <c r="I91" s="6">
        <f>IF('Shipment Data'!A91="","",IF(H91&gt;G91,"COURIER OVER-ROUNDED WEIGHT","OK"))</f>
        <v/>
      </c>
      <c r="J91" s="18">
        <f>IF('Shipment Data'!A91="","",INDEX('Rate Card'!$D$4:$D$8,MATCH(B91,'Rate Card'!$A$4:$A$8,0)))</f>
        <v/>
      </c>
      <c r="K91" s="18">
        <f>IF('Shipment Data'!A91="","",ROUND((G91-INDEX('Rate Card'!$C$4:$C$8,MATCH(B91,'Rate Card'!$A$4:$A$8,0)))/0.5,0)*INDEX('Rate Card'!$E$4:$E$8,MATCH(B91,'Rate Card'!$A$4:$A$8,0)))</f>
        <v/>
      </c>
      <c r="L91" s="18">
        <f>IF('Shipment Data'!A91="","",IF(C91="COD",MAX('Shipment Data'!E91*INDEX('Rate Card'!$F$4:$F$8,MATCH(B91,'Rate Card'!$A$4:$A$8,0)),INDEX('Rate Card'!$G$4:$G$8,MATCH(B91,'Rate Card'!$A$4:$A$8,0))),0))</f>
        <v/>
      </c>
      <c r="M91" s="18">
        <f>IF('Shipment Data'!A91="","",IF(D91="RTO",(J91+K91)*INDEX('Rate Card'!$H$4:$H$8,MATCH(B91,'Rate Card'!$A$4:$A$8,0)),0))</f>
        <v/>
      </c>
      <c r="N91" s="19">
        <f>IF('Shipment Data'!A91="","",J91+K91+L91+M91)</f>
        <v/>
      </c>
      <c r="O91" s="18">
        <f>IF('Shipment Data'!A91="","",'Shipment Data'!L91)</f>
        <v/>
      </c>
      <c r="P91" s="19">
        <f>IF('Shipment Data'!A91="","",O91-N91)</f>
        <v/>
      </c>
      <c r="Q91" s="6">
        <f>IF('Shipment Data'!A91="","",IF(P91&gt;1,"OVERCHARGED",IF(P91&lt;-1,"UNDERBILLED","MATCH")))</f>
        <v/>
      </c>
    </row>
    <row r="92">
      <c r="A92" s="15">
        <f>IF('Shipment Data'!A92="","",'Shipment Data'!A92)</f>
        <v/>
      </c>
      <c r="B92" s="15">
        <f>IF('Shipment Data'!A92="","",'Shipment Data'!C92)</f>
        <v/>
      </c>
      <c r="C92" s="15">
        <f>IF('Shipment Data'!A92="","",'Shipment Data'!D92)</f>
        <v/>
      </c>
      <c r="D92" s="15">
        <f>IF('Shipment Data'!A92="","",'Shipment Data'!J92)</f>
        <v/>
      </c>
      <c r="E92" s="16">
        <f>IF('Shipment Data'!A92="","",'Shipment Data'!F92)</f>
        <v/>
      </c>
      <c r="F92" s="17">
        <f>IF('Shipment Data'!A92="","",('Shipment Data'!G92*'Shipment Data'!H92*'Shipment Data'!I92)/5000)</f>
        <v/>
      </c>
      <c r="G92" s="17">
        <f>IF('Shipment Data'!A92="","",CEILING(MAX(E92,F92),0.5))</f>
        <v/>
      </c>
      <c r="H92" s="16">
        <f>IF('Shipment Data'!A92="","",'Shipment Data'!K92)</f>
        <v/>
      </c>
      <c r="I92" s="6">
        <f>IF('Shipment Data'!A92="","",IF(H92&gt;G92,"COURIER OVER-ROUNDED WEIGHT","OK"))</f>
        <v/>
      </c>
      <c r="J92" s="18">
        <f>IF('Shipment Data'!A92="","",INDEX('Rate Card'!$D$4:$D$8,MATCH(B92,'Rate Card'!$A$4:$A$8,0)))</f>
        <v/>
      </c>
      <c r="K92" s="18">
        <f>IF('Shipment Data'!A92="","",ROUND((G92-INDEX('Rate Card'!$C$4:$C$8,MATCH(B92,'Rate Card'!$A$4:$A$8,0)))/0.5,0)*INDEX('Rate Card'!$E$4:$E$8,MATCH(B92,'Rate Card'!$A$4:$A$8,0)))</f>
        <v/>
      </c>
      <c r="L92" s="18">
        <f>IF('Shipment Data'!A92="","",IF(C92="COD",MAX('Shipment Data'!E92*INDEX('Rate Card'!$F$4:$F$8,MATCH(B92,'Rate Card'!$A$4:$A$8,0)),INDEX('Rate Card'!$G$4:$G$8,MATCH(B92,'Rate Card'!$A$4:$A$8,0))),0))</f>
        <v/>
      </c>
      <c r="M92" s="18">
        <f>IF('Shipment Data'!A92="","",IF(D92="RTO",(J92+K92)*INDEX('Rate Card'!$H$4:$H$8,MATCH(B92,'Rate Card'!$A$4:$A$8,0)),0))</f>
        <v/>
      </c>
      <c r="N92" s="19">
        <f>IF('Shipment Data'!A92="","",J92+K92+L92+M92)</f>
        <v/>
      </c>
      <c r="O92" s="18">
        <f>IF('Shipment Data'!A92="","",'Shipment Data'!L92)</f>
        <v/>
      </c>
      <c r="P92" s="19">
        <f>IF('Shipment Data'!A92="","",O92-N92)</f>
        <v/>
      </c>
      <c r="Q92" s="6">
        <f>IF('Shipment Data'!A92="","",IF(P92&gt;1,"OVERCHARGED",IF(P92&lt;-1,"UNDERBILLED","MATCH")))</f>
        <v/>
      </c>
    </row>
    <row r="93">
      <c r="A93" s="15">
        <f>IF('Shipment Data'!A93="","",'Shipment Data'!A93)</f>
        <v/>
      </c>
      <c r="B93" s="15">
        <f>IF('Shipment Data'!A93="","",'Shipment Data'!C93)</f>
        <v/>
      </c>
      <c r="C93" s="15">
        <f>IF('Shipment Data'!A93="","",'Shipment Data'!D93)</f>
        <v/>
      </c>
      <c r="D93" s="15">
        <f>IF('Shipment Data'!A93="","",'Shipment Data'!J93)</f>
        <v/>
      </c>
      <c r="E93" s="16">
        <f>IF('Shipment Data'!A93="","",'Shipment Data'!F93)</f>
        <v/>
      </c>
      <c r="F93" s="17">
        <f>IF('Shipment Data'!A93="","",('Shipment Data'!G93*'Shipment Data'!H93*'Shipment Data'!I93)/5000)</f>
        <v/>
      </c>
      <c r="G93" s="17">
        <f>IF('Shipment Data'!A93="","",CEILING(MAX(E93,F93),0.5))</f>
        <v/>
      </c>
      <c r="H93" s="16">
        <f>IF('Shipment Data'!A93="","",'Shipment Data'!K93)</f>
        <v/>
      </c>
      <c r="I93" s="6">
        <f>IF('Shipment Data'!A93="","",IF(H93&gt;G93,"COURIER OVER-ROUNDED WEIGHT","OK"))</f>
        <v/>
      </c>
      <c r="J93" s="18">
        <f>IF('Shipment Data'!A93="","",INDEX('Rate Card'!$D$4:$D$8,MATCH(B93,'Rate Card'!$A$4:$A$8,0)))</f>
        <v/>
      </c>
      <c r="K93" s="18">
        <f>IF('Shipment Data'!A93="","",ROUND((G93-INDEX('Rate Card'!$C$4:$C$8,MATCH(B93,'Rate Card'!$A$4:$A$8,0)))/0.5,0)*INDEX('Rate Card'!$E$4:$E$8,MATCH(B93,'Rate Card'!$A$4:$A$8,0)))</f>
        <v/>
      </c>
      <c r="L93" s="18">
        <f>IF('Shipment Data'!A93="","",IF(C93="COD",MAX('Shipment Data'!E93*INDEX('Rate Card'!$F$4:$F$8,MATCH(B93,'Rate Card'!$A$4:$A$8,0)),INDEX('Rate Card'!$G$4:$G$8,MATCH(B93,'Rate Card'!$A$4:$A$8,0))),0))</f>
        <v/>
      </c>
      <c r="M93" s="18">
        <f>IF('Shipment Data'!A93="","",IF(D93="RTO",(J93+K93)*INDEX('Rate Card'!$H$4:$H$8,MATCH(B93,'Rate Card'!$A$4:$A$8,0)),0))</f>
        <v/>
      </c>
      <c r="N93" s="19">
        <f>IF('Shipment Data'!A93="","",J93+K93+L93+M93)</f>
        <v/>
      </c>
      <c r="O93" s="18">
        <f>IF('Shipment Data'!A93="","",'Shipment Data'!L93)</f>
        <v/>
      </c>
      <c r="P93" s="19">
        <f>IF('Shipment Data'!A93="","",O93-N93)</f>
        <v/>
      </c>
      <c r="Q93" s="6">
        <f>IF('Shipment Data'!A93="","",IF(P93&gt;1,"OVERCHARGED",IF(P93&lt;-1,"UNDERBILLED","MATCH")))</f>
        <v/>
      </c>
    </row>
    <row r="94">
      <c r="A94" s="15">
        <f>IF('Shipment Data'!A94="","",'Shipment Data'!A94)</f>
        <v/>
      </c>
      <c r="B94" s="15">
        <f>IF('Shipment Data'!A94="","",'Shipment Data'!C94)</f>
        <v/>
      </c>
      <c r="C94" s="15">
        <f>IF('Shipment Data'!A94="","",'Shipment Data'!D94)</f>
        <v/>
      </c>
      <c r="D94" s="15">
        <f>IF('Shipment Data'!A94="","",'Shipment Data'!J94)</f>
        <v/>
      </c>
      <c r="E94" s="16">
        <f>IF('Shipment Data'!A94="","",'Shipment Data'!F94)</f>
        <v/>
      </c>
      <c r="F94" s="17">
        <f>IF('Shipment Data'!A94="","",('Shipment Data'!G94*'Shipment Data'!H94*'Shipment Data'!I94)/5000)</f>
        <v/>
      </c>
      <c r="G94" s="17">
        <f>IF('Shipment Data'!A94="","",CEILING(MAX(E94,F94),0.5))</f>
        <v/>
      </c>
      <c r="H94" s="16">
        <f>IF('Shipment Data'!A94="","",'Shipment Data'!K94)</f>
        <v/>
      </c>
      <c r="I94" s="6">
        <f>IF('Shipment Data'!A94="","",IF(H94&gt;G94,"COURIER OVER-ROUNDED WEIGHT","OK"))</f>
        <v/>
      </c>
      <c r="J94" s="18">
        <f>IF('Shipment Data'!A94="","",INDEX('Rate Card'!$D$4:$D$8,MATCH(B94,'Rate Card'!$A$4:$A$8,0)))</f>
        <v/>
      </c>
      <c r="K94" s="18">
        <f>IF('Shipment Data'!A94="","",ROUND((G94-INDEX('Rate Card'!$C$4:$C$8,MATCH(B94,'Rate Card'!$A$4:$A$8,0)))/0.5,0)*INDEX('Rate Card'!$E$4:$E$8,MATCH(B94,'Rate Card'!$A$4:$A$8,0)))</f>
        <v/>
      </c>
      <c r="L94" s="18">
        <f>IF('Shipment Data'!A94="","",IF(C94="COD",MAX('Shipment Data'!E94*INDEX('Rate Card'!$F$4:$F$8,MATCH(B94,'Rate Card'!$A$4:$A$8,0)),INDEX('Rate Card'!$G$4:$G$8,MATCH(B94,'Rate Card'!$A$4:$A$8,0))),0))</f>
        <v/>
      </c>
      <c r="M94" s="18">
        <f>IF('Shipment Data'!A94="","",IF(D94="RTO",(J94+K94)*INDEX('Rate Card'!$H$4:$H$8,MATCH(B94,'Rate Card'!$A$4:$A$8,0)),0))</f>
        <v/>
      </c>
      <c r="N94" s="19">
        <f>IF('Shipment Data'!A94="","",J94+K94+L94+M94)</f>
        <v/>
      </c>
      <c r="O94" s="18">
        <f>IF('Shipment Data'!A94="","",'Shipment Data'!L94)</f>
        <v/>
      </c>
      <c r="P94" s="19">
        <f>IF('Shipment Data'!A94="","",O94-N94)</f>
        <v/>
      </c>
      <c r="Q94" s="6">
        <f>IF('Shipment Data'!A94="","",IF(P94&gt;1,"OVERCHARGED",IF(P94&lt;-1,"UNDERBILLED","MATCH")))</f>
        <v/>
      </c>
    </row>
    <row r="95">
      <c r="A95" s="15">
        <f>IF('Shipment Data'!A95="","",'Shipment Data'!A95)</f>
        <v/>
      </c>
      <c r="B95" s="15">
        <f>IF('Shipment Data'!A95="","",'Shipment Data'!C95)</f>
        <v/>
      </c>
      <c r="C95" s="15">
        <f>IF('Shipment Data'!A95="","",'Shipment Data'!D95)</f>
        <v/>
      </c>
      <c r="D95" s="15">
        <f>IF('Shipment Data'!A95="","",'Shipment Data'!J95)</f>
        <v/>
      </c>
      <c r="E95" s="16">
        <f>IF('Shipment Data'!A95="","",'Shipment Data'!F95)</f>
        <v/>
      </c>
      <c r="F95" s="17">
        <f>IF('Shipment Data'!A95="","",('Shipment Data'!G95*'Shipment Data'!H95*'Shipment Data'!I95)/5000)</f>
        <v/>
      </c>
      <c r="G95" s="17">
        <f>IF('Shipment Data'!A95="","",CEILING(MAX(E95,F95),0.5))</f>
        <v/>
      </c>
      <c r="H95" s="16">
        <f>IF('Shipment Data'!A95="","",'Shipment Data'!K95)</f>
        <v/>
      </c>
      <c r="I95" s="6">
        <f>IF('Shipment Data'!A95="","",IF(H95&gt;G95,"COURIER OVER-ROUNDED WEIGHT","OK"))</f>
        <v/>
      </c>
      <c r="J95" s="18">
        <f>IF('Shipment Data'!A95="","",INDEX('Rate Card'!$D$4:$D$8,MATCH(B95,'Rate Card'!$A$4:$A$8,0)))</f>
        <v/>
      </c>
      <c r="K95" s="18">
        <f>IF('Shipment Data'!A95="","",ROUND((G95-INDEX('Rate Card'!$C$4:$C$8,MATCH(B95,'Rate Card'!$A$4:$A$8,0)))/0.5,0)*INDEX('Rate Card'!$E$4:$E$8,MATCH(B95,'Rate Card'!$A$4:$A$8,0)))</f>
        <v/>
      </c>
      <c r="L95" s="18">
        <f>IF('Shipment Data'!A95="","",IF(C95="COD",MAX('Shipment Data'!E95*INDEX('Rate Card'!$F$4:$F$8,MATCH(B95,'Rate Card'!$A$4:$A$8,0)),INDEX('Rate Card'!$G$4:$G$8,MATCH(B95,'Rate Card'!$A$4:$A$8,0))),0))</f>
        <v/>
      </c>
      <c r="M95" s="18">
        <f>IF('Shipment Data'!A95="","",IF(D95="RTO",(J95+K95)*INDEX('Rate Card'!$H$4:$H$8,MATCH(B95,'Rate Card'!$A$4:$A$8,0)),0))</f>
        <v/>
      </c>
      <c r="N95" s="19">
        <f>IF('Shipment Data'!A95="","",J95+K95+L95+M95)</f>
        <v/>
      </c>
      <c r="O95" s="18">
        <f>IF('Shipment Data'!A95="","",'Shipment Data'!L95)</f>
        <v/>
      </c>
      <c r="P95" s="19">
        <f>IF('Shipment Data'!A95="","",O95-N95)</f>
        <v/>
      </c>
      <c r="Q95" s="6">
        <f>IF('Shipment Data'!A95="","",IF(P95&gt;1,"OVERCHARGED",IF(P95&lt;-1,"UNDERBILLED","MATCH")))</f>
        <v/>
      </c>
    </row>
    <row r="96">
      <c r="A96" s="15">
        <f>IF('Shipment Data'!A96="","",'Shipment Data'!A96)</f>
        <v/>
      </c>
      <c r="B96" s="15">
        <f>IF('Shipment Data'!A96="","",'Shipment Data'!C96)</f>
        <v/>
      </c>
      <c r="C96" s="15">
        <f>IF('Shipment Data'!A96="","",'Shipment Data'!D96)</f>
        <v/>
      </c>
      <c r="D96" s="15">
        <f>IF('Shipment Data'!A96="","",'Shipment Data'!J96)</f>
        <v/>
      </c>
      <c r="E96" s="16">
        <f>IF('Shipment Data'!A96="","",'Shipment Data'!F96)</f>
        <v/>
      </c>
      <c r="F96" s="17">
        <f>IF('Shipment Data'!A96="","",('Shipment Data'!G96*'Shipment Data'!H96*'Shipment Data'!I96)/5000)</f>
        <v/>
      </c>
      <c r="G96" s="17">
        <f>IF('Shipment Data'!A96="","",CEILING(MAX(E96,F96),0.5))</f>
        <v/>
      </c>
      <c r="H96" s="16">
        <f>IF('Shipment Data'!A96="","",'Shipment Data'!K96)</f>
        <v/>
      </c>
      <c r="I96" s="6">
        <f>IF('Shipment Data'!A96="","",IF(H96&gt;G96,"COURIER OVER-ROUNDED WEIGHT","OK"))</f>
        <v/>
      </c>
      <c r="J96" s="18">
        <f>IF('Shipment Data'!A96="","",INDEX('Rate Card'!$D$4:$D$8,MATCH(B96,'Rate Card'!$A$4:$A$8,0)))</f>
        <v/>
      </c>
      <c r="K96" s="18">
        <f>IF('Shipment Data'!A96="","",ROUND((G96-INDEX('Rate Card'!$C$4:$C$8,MATCH(B96,'Rate Card'!$A$4:$A$8,0)))/0.5,0)*INDEX('Rate Card'!$E$4:$E$8,MATCH(B96,'Rate Card'!$A$4:$A$8,0)))</f>
        <v/>
      </c>
      <c r="L96" s="18">
        <f>IF('Shipment Data'!A96="","",IF(C96="COD",MAX('Shipment Data'!E96*INDEX('Rate Card'!$F$4:$F$8,MATCH(B96,'Rate Card'!$A$4:$A$8,0)),INDEX('Rate Card'!$G$4:$G$8,MATCH(B96,'Rate Card'!$A$4:$A$8,0))),0))</f>
        <v/>
      </c>
      <c r="M96" s="18">
        <f>IF('Shipment Data'!A96="","",IF(D96="RTO",(J96+K96)*INDEX('Rate Card'!$H$4:$H$8,MATCH(B96,'Rate Card'!$A$4:$A$8,0)),0))</f>
        <v/>
      </c>
      <c r="N96" s="19">
        <f>IF('Shipment Data'!A96="","",J96+K96+L96+M96)</f>
        <v/>
      </c>
      <c r="O96" s="18">
        <f>IF('Shipment Data'!A96="","",'Shipment Data'!L96)</f>
        <v/>
      </c>
      <c r="P96" s="19">
        <f>IF('Shipment Data'!A96="","",O96-N96)</f>
        <v/>
      </c>
      <c r="Q96" s="6">
        <f>IF('Shipment Data'!A96="","",IF(P96&gt;1,"OVERCHARGED",IF(P96&lt;-1,"UNDERBILLED","MATCH")))</f>
        <v/>
      </c>
    </row>
    <row r="97">
      <c r="A97" s="15">
        <f>IF('Shipment Data'!A97="","",'Shipment Data'!A97)</f>
        <v/>
      </c>
      <c r="B97" s="15">
        <f>IF('Shipment Data'!A97="","",'Shipment Data'!C97)</f>
        <v/>
      </c>
      <c r="C97" s="15">
        <f>IF('Shipment Data'!A97="","",'Shipment Data'!D97)</f>
        <v/>
      </c>
      <c r="D97" s="15">
        <f>IF('Shipment Data'!A97="","",'Shipment Data'!J97)</f>
        <v/>
      </c>
      <c r="E97" s="16">
        <f>IF('Shipment Data'!A97="","",'Shipment Data'!F97)</f>
        <v/>
      </c>
      <c r="F97" s="17">
        <f>IF('Shipment Data'!A97="","",('Shipment Data'!G97*'Shipment Data'!H97*'Shipment Data'!I97)/5000)</f>
        <v/>
      </c>
      <c r="G97" s="17">
        <f>IF('Shipment Data'!A97="","",CEILING(MAX(E97,F97),0.5))</f>
        <v/>
      </c>
      <c r="H97" s="16">
        <f>IF('Shipment Data'!A97="","",'Shipment Data'!K97)</f>
        <v/>
      </c>
      <c r="I97" s="6">
        <f>IF('Shipment Data'!A97="","",IF(H97&gt;G97,"COURIER OVER-ROUNDED WEIGHT","OK"))</f>
        <v/>
      </c>
      <c r="J97" s="18">
        <f>IF('Shipment Data'!A97="","",INDEX('Rate Card'!$D$4:$D$8,MATCH(B97,'Rate Card'!$A$4:$A$8,0)))</f>
        <v/>
      </c>
      <c r="K97" s="18">
        <f>IF('Shipment Data'!A97="","",ROUND((G97-INDEX('Rate Card'!$C$4:$C$8,MATCH(B97,'Rate Card'!$A$4:$A$8,0)))/0.5,0)*INDEX('Rate Card'!$E$4:$E$8,MATCH(B97,'Rate Card'!$A$4:$A$8,0)))</f>
        <v/>
      </c>
      <c r="L97" s="18">
        <f>IF('Shipment Data'!A97="","",IF(C97="COD",MAX('Shipment Data'!E97*INDEX('Rate Card'!$F$4:$F$8,MATCH(B97,'Rate Card'!$A$4:$A$8,0)),INDEX('Rate Card'!$G$4:$G$8,MATCH(B97,'Rate Card'!$A$4:$A$8,0))),0))</f>
        <v/>
      </c>
      <c r="M97" s="18">
        <f>IF('Shipment Data'!A97="","",IF(D97="RTO",(J97+K97)*INDEX('Rate Card'!$H$4:$H$8,MATCH(B97,'Rate Card'!$A$4:$A$8,0)),0))</f>
        <v/>
      </c>
      <c r="N97" s="19">
        <f>IF('Shipment Data'!A97="","",J97+K97+L97+M97)</f>
        <v/>
      </c>
      <c r="O97" s="18">
        <f>IF('Shipment Data'!A97="","",'Shipment Data'!L97)</f>
        <v/>
      </c>
      <c r="P97" s="19">
        <f>IF('Shipment Data'!A97="","",O97-N97)</f>
        <v/>
      </c>
      <c r="Q97" s="6">
        <f>IF('Shipment Data'!A97="","",IF(P97&gt;1,"OVERCHARGED",IF(P97&lt;-1,"UNDERBILLED","MATCH")))</f>
        <v/>
      </c>
    </row>
    <row r="98">
      <c r="A98" s="15">
        <f>IF('Shipment Data'!A98="","",'Shipment Data'!A98)</f>
        <v/>
      </c>
      <c r="B98" s="15">
        <f>IF('Shipment Data'!A98="","",'Shipment Data'!C98)</f>
        <v/>
      </c>
      <c r="C98" s="15">
        <f>IF('Shipment Data'!A98="","",'Shipment Data'!D98)</f>
        <v/>
      </c>
      <c r="D98" s="15">
        <f>IF('Shipment Data'!A98="","",'Shipment Data'!J98)</f>
        <v/>
      </c>
      <c r="E98" s="16">
        <f>IF('Shipment Data'!A98="","",'Shipment Data'!F98)</f>
        <v/>
      </c>
      <c r="F98" s="17">
        <f>IF('Shipment Data'!A98="","",('Shipment Data'!G98*'Shipment Data'!H98*'Shipment Data'!I98)/5000)</f>
        <v/>
      </c>
      <c r="G98" s="17">
        <f>IF('Shipment Data'!A98="","",CEILING(MAX(E98,F98),0.5))</f>
        <v/>
      </c>
      <c r="H98" s="16">
        <f>IF('Shipment Data'!A98="","",'Shipment Data'!K98)</f>
        <v/>
      </c>
      <c r="I98" s="6">
        <f>IF('Shipment Data'!A98="","",IF(H98&gt;G98,"COURIER OVER-ROUNDED WEIGHT","OK"))</f>
        <v/>
      </c>
      <c r="J98" s="18">
        <f>IF('Shipment Data'!A98="","",INDEX('Rate Card'!$D$4:$D$8,MATCH(B98,'Rate Card'!$A$4:$A$8,0)))</f>
        <v/>
      </c>
      <c r="K98" s="18">
        <f>IF('Shipment Data'!A98="","",ROUND((G98-INDEX('Rate Card'!$C$4:$C$8,MATCH(B98,'Rate Card'!$A$4:$A$8,0)))/0.5,0)*INDEX('Rate Card'!$E$4:$E$8,MATCH(B98,'Rate Card'!$A$4:$A$8,0)))</f>
        <v/>
      </c>
      <c r="L98" s="18">
        <f>IF('Shipment Data'!A98="","",IF(C98="COD",MAX('Shipment Data'!E98*INDEX('Rate Card'!$F$4:$F$8,MATCH(B98,'Rate Card'!$A$4:$A$8,0)),INDEX('Rate Card'!$G$4:$G$8,MATCH(B98,'Rate Card'!$A$4:$A$8,0))),0))</f>
        <v/>
      </c>
      <c r="M98" s="18">
        <f>IF('Shipment Data'!A98="","",IF(D98="RTO",(J98+K98)*INDEX('Rate Card'!$H$4:$H$8,MATCH(B98,'Rate Card'!$A$4:$A$8,0)),0))</f>
        <v/>
      </c>
      <c r="N98" s="19">
        <f>IF('Shipment Data'!A98="","",J98+K98+L98+M98)</f>
        <v/>
      </c>
      <c r="O98" s="18">
        <f>IF('Shipment Data'!A98="","",'Shipment Data'!L98)</f>
        <v/>
      </c>
      <c r="P98" s="19">
        <f>IF('Shipment Data'!A98="","",O98-N98)</f>
        <v/>
      </c>
      <c r="Q98" s="6">
        <f>IF('Shipment Data'!A98="","",IF(P98&gt;1,"OVERCHARGED",IF(P98&lt;-1,"UNDERBILLED","MATCH")))</f>
        <v/>
      </c>
    </row>
    <row r="99">
      <c r="A99" s="15">
        <f>IF('Shipment Data'!A99="","",'Shipment Data'!A99)</f>
        <v/>
      </c>
      <c r="B99" s="15">
        <f>IF('Shipment Data'!A99="","",'Shipment Data'!C99)</f>
        <v/>
      </c>
      <c r="C99" s="15">
        <f>IF('Shipment Data'!A99="","",'Shipment Data'!D99)</f>
        <v/>
      </c>
      <c r="D99" s="15">
        <f>IF('Shipment Data'!A99="","",'Shipment Data'!J99)</f>
        <v/>
      </c>
      <c r="E99" s="16">
        <f>IF('Shipment Data'!A99="","",'Shipment Data'!F99)</f>
        <v/>
      </c>
      <c r="F99" s="17">
        <f>IF('Shipment Data'!A99="","",('Shipment Data'!G99*'Shipment Data'!H99*'Shipment Data'!I99)/5000)</f>
        <v/>
      </c>
      <c r="G99" s="17">
        <f>IF('Shipment Data'!A99="","",CEILING(MAX(E99,F99),0.5))</f>
        <v/>
      </c>
      <c r="H99" s="16">
        <f>IF('Shipment Data'!A99="","",'Shipment Data'!K99)</f>
        <v/>
      </c>
      <c r="I99" s="6">
        <f>IF('Shipment Data'!A99="","",IF(H99&gt;G99,"COURIER OVER-ROUNDED WEIGHT","OK"))</f>
        <v/>
      </c>
      <c r="J99" s="18">
        <f>IF('Shipment Data'!A99="","",INDEX('Rate Card'!$D$4:$D$8,MATCH(B99,'Rate Card'!$A$4:$A$8,0)))</f>
        <v/>
      </c>
      <c r="K99" s="18">
        <f>IF('Shipment Data'!A99="","",ROUND((G99-INDEX('Rate Card'!$C$4:$C$8,MATCH(B99,'Rate Card'!$A$4:$A$8,0)))/0.5,0)*INDEX('Rate Card'!$E$4:$E$8,MATCH(B99,'Rate Card'!$A$4:$A$8,0)))</f>
        <v/>
      </c>
      <c r="L99" s="18">
        <f>IF('Shipment Data'!A99="","",IF(C99="COD",MAX('Shipment Data'!E99*INDEX('Rate Card'!$F$4:$F$8,MATCH(B99,'Rate Card'!$A$4:$A$8,0)),INDEX('Rate Card'!$G$4:$G$8,MATCH(B99,'Rate Card'!$A$4:$A$8,0))),0))</f>
        <v/>
      </c>
      <c r="M99" s="18">
        <f>IF('Shipment Data'!A99="","",IF(D99="RTO",(J99+K99)*INDEX('Rate Card'!$H$4:$H$8,MATCH(B99,'Rate Card'!$A$4:$A$8,0)),0))</f>
        <v/>
      </c>
      <c r="N99" s="19">
        <f>IF('Shipment Data'!A99="","",J99+K99+L99+M99)</f>
        <v/>
      </c>
      <c r="O99" s="18">
        <f>IF('Shipment Data'!A99="","",'Shipment Data'!L99)</f>
        <v/>
      </c>
      <c r="P99" s="19">
        <f>IF('Shipment Data'!A99="","",O99-N99)</f>
        <v/>
      </c>
      <c r="Q99" s="6">
        <f>IF('Shipment Data'!A99="","",IF(P99&gt;1,"OVERCHARGED",IF(P99&lt;-1,"UNDERBILLED","MATCH")))</f>
        <v/>
      </c>
    </row>
    <row r="100">
      <c r="A100" s="15">
        <f>IF('Shipment Data'!A100="","",'Shipment Data'!A100)</f>
        <v/>
      </c>
      <c r="B100" s="15">
        <f>IF('Shipment Data'!A100="","",'Shipment Data'!C100)</f>
        <v/>
      </c>
      <c r="C100" s="15">
        <f>IF('Shipment Data'!A100="","",'Shipment Data'!D100)</f>
        <v/>
      </c>
      <c r="D100" s="15">
        <f>IF('Shipment Data'!A100="","",'Shipment Data'!J100)</f>
        <v/>
      </c>
      <c r="E100" s="16">
        <f>IF('Shipment Data'!A100="","",'Shipment Data'!F100)</f>
        <v/>
      </c>
      <c r="F100" s="17">
        <f>IF('Shipment Data'!A100="","",('Shipment Data'!G100*'Shipment Data'!H100*'Shipment Data'!I100)/5000)</f>
        <v/>
      </c>
      <c r="G100" s="17">
        <f>IF('Shipment Data'!A100="","",CEILING(MAX(E100,F100),0.5))</f>
        <v/>
      </c>
      <c r="H100" s="16">
        <f>IF('Shipment Data'!A100="","",'Shipment Data'!K100)</f>
        <v/>
      </c>
      <c r="I100" s="6">
        <f>IF('Shipment Data'!A100="","",IF(H100&gt;G100,"COURIER OVER-ROUNDED WEIGHT","OK"))</f>
        <v/>
      </c>
      <c r="J100" s="18">
        <f>IF('Shipment Data'!A100="","",INDEX('Rate Card'!$D$4:$D$8,MATCH(B100,'Rate Card'!$A$4:$A$8,0)))</f>
        <v/>
      </c>
      <c r="K100" s="18">
        <f>IF('Shipment Data'!A100="","",ROUND((G100-INDEX('Rate Card'!$C$4:$C$8,MATCH(B100,'Rate Card'!$A$4:$A$8,0)))/0.5,0)*INDEX('Rate Card'!$E$4:$E$8,MATCH(B100,'Rate Card'!$A$4:$A$8,0)))</f>
        <v/>
      </c>
      <c r="L100" s="18">
        <f>IF('Shipment Data'!A100="","",IF(C100="COD",MAX('Shipment Data'!E100*INDEX('Rate Card'!$F$4:$F$8,MATCH(B100,'Rate Card'!$A$4:$A$8,0)),INDEX('Rate Card'!$G$4:$G$8,MATCH(B100,'Rate Card'!$A$4:$A$8,0))),0))</f>
        <v/>
      </c>
      <c r="M100" s="18">
        <f>IF('Shipment Data'!A100="","",IF(D100="RTO",(J100+K100)*INDEX('Rate Card'!$H$4:$H$8,MATCH(B100,'Rate Card'!$A$4:$A$8,0)),0))</f>
        <v/>
      </c>
      <c r="N100" s="19">
        <f>IF('Shipment Data'!A100="","",J100+K100+L100+M100)</f>
        <v/>
      </c>
      <c r="O100" s="18">
        <f>IF('Shipment Data'!A100="","",'Shipment Data'!L100)</f>
        <v/>
      </c>
      <c r="P100" s="19">
        <f>IF('Shipment Data'!A100="","",O100-N100)</f>
        <v/>
      </c>
      <c r="Q100" s="6">
        <f>IF('Shipment Data'!A100="","",IF(P100&gt;1,"OVERCHARGED",IF(P100&lt;-1,"UNDERBILLED","MATCH")))</f>
        <v/>
      </c>
    </row>
    <row r="101">
      <c r="A101" s="15">
        <f>IF('Shipment Data'!A101="","",'Shipment Data'!A101)</f>
        <v/>
      </c>
      <c r="B101" s="15">
        <f>IF('Shipment Data'!A101="","",'Shipment Data'!C101)</f>
        <v/>
      </c>
      <c r="C101" s="15">
        <f>IF('Shipment Data'!A101="","",'Shipment Data'!D101)</f>
        <v/>
      </c>
      <c r="D101" s="15">
        <f>IF('Shipment Data'!A101="","",'Shipment Data'!J101)</f>
        <v/>
      </c>
      <c r="E101" s="16">
        <f>IF('Shipment Data'!A101="","",'Shipment Data'!F101)</f>
        <v/>
      </c>
      <c r="F101" s="17">
        <f>IF('Shipment Data'!A101="","",('Shipment Data'!G101*'Shipment Data'!H101*'Shipment Data'!I101)/5000)</f>
        <v/>
      </c>
      <c r="G101" s="17">
        <f>IF('Shipment Data'!A101="","",CEILING(MAX(E101,F101),0.5))</f>
        <v/>
      </c>
      <c r="H101" s="16">
        <f>IF('Shipment Data'!A101="","",'Shipment Data'!K101)</f>
        <v/>
      </c>
      <c r="I101" s="6">
        <f>IF('Shipment Data'!A101="","",IF(H101&gt;G101,"COURIER OVER-ROUNDED WEIGHT","OK"))</f>
        <v/>
      </c>
      <c r="J101" s="18">
        <f>IF('Shipment Data'!A101="","",INDEX('Rate Card'!$D$4:$D$8,MATCH(B101,'Rate Card'!$A$4:$A$8,0)))</f>
        <v/>
      </c>
      <c r="K101" s="18">
        <f>IF('Shipment Data'!A101="","",ROUND((G101-INDEX('Rate Card'!$C$4:$C$8,MATCH(B101,'Rate Card'!$A$4:$A$8,0)))/0.5,0)*INDEX('Rate Card'!$E$4:$E$8,MATCH(B101,'Rate Card'!$A$4:$A$8,0)))</f>
        <v/>
      </c>
      <c r="L101" s="18">
        <f>IF('Shipment Data'!A101="","",IF(C101="COD",MAX('Shipment Data'!E101*INDEX('Rate Card'!$F$4:$F$8,MATCH(B101,'Rate Card'!$A$4:$A$8,0)),INDEX('Rate Card'!$G$4:$G$8,MATCH(B101,'Rate Card'!$A$4:$A$8,0))),0))</f>
        <v/>
      </c>
      <c r="M101" s="18">
        <f>IF('Shipment Data'!A101="","",IF(D101="RTO",(J101+K101)*INDEX('Rate Card'!$H$4:$H$8,MATCH(B101,'Rate Card'!$A$4:$A$8,0)),0))</f>
        <v/>
      </c>
      <c r="N101" s="19">
        <f>IF('Shipment Data'!A101="","",J101+K101+L101+M101)</f>
        <v/>
      </c>
      <c r="O101" s="18">
        <f>IF('Shipment Data'!A101="","",'Shipment Data'!L101)</f>
        <v/>
      </c>
      <c r="P101" s="19">
        <f>IF('Shipment Data'!A101="","",O101-N101)</f>
        <v/>
      </c>
      <c r="Q101" s="6">
        <f>IF('Shipment Data'!A101="","",IF(P101&gt;1,"OVERCHARGED",IF(P101&lt;-1,"UNDERBILLED","MATCH")))</f>
        <v/>
      </c>
    </row>
    <row r="102">
      <c r="A102" s="15">
        <f>IF('Shipment Data'!A102="","",'Shipment Data'!A102)</f>
        <v/>
      </c>
      <c r="B102" s="15">
        <f>IF('Shipment Data'!A102="","",'Shipment Data'!C102)</f>
        <v/>
      </c>
      <c r="C102" s="15">
        <f>IF('Shipment Data'!A102="","",'Shipment Data'!D102)</f>
        <v/>
      </c>
      <c r="D102" s="15">
        <f>IF('Shipment Data'!A102="","",'Shipment Data'!J102)</f>
        <v/>
      </c>
      <c r="E102" s="16">
        <f>IF('Shipment Data'!A102="","",'Shipment Data'!F102)</f>
        <v/>
      </c>
      <c r="F102" s="17">
        <f>IF('Shipment Data'!A102="","",('Shipment Data'!G102*'Shipment Data'!H102*'Shipment Data'!I102)/5000)</f>
        <v/>
      </c>
      <c r="G102" s="17">
        <f>IF('Shipment Data'!A102="","",CEILING(MAX(E102,F102),0.5))</f>
        <v/>
      </c>
      <c r="H102" s="16">
        <f>IF('Shipment Data'!A102="","",'Shipment Data'!K102)</f>
        <v/>
      </c>
      <c r="I102" s="6">
        <f>IF('Shipment Data'!A102="","",IF(H102&gt;G102,"COURIER OVER-ROUNDED WEIGHT","OK"))</f>
        <v/>
      </c>
      <c r="J102" s="18">
        <f>IF('Shipment Data'!A102="","",INDEX('Rate Card'!$D$4:$D$8,MATCH(B102,'Rate Card'!$A$4:$A$8,0)))</f>
        <v/>
      </c>
      <c r="K102" s="18">
        <f>IF('Shipment Data'!A102="","",ROUND((G102-INDEX('Rate Card'!$C$4:$C$8,MATCH(B102,'Rate Card'!$A$4:$A$8,0)))/0.5,0)*INDEX('Rate Card'!$E$4:$E$8,MATCH(B102,'Rate Card'!$A$4:$A$8,0)))</f>
        <v/>
      </c>
      <c r="L102" s="18">
        <f>IF('Shipment Data'!A102="","",IF(C102="COD",MAX('Shipment Data'!E102*INDEX('Rate Card'!$F$4:$F$8,MATCH(B102,'Rate Card'!$A$4:$A$8,0)),INDEX('Rate Card'!$G$4:$G$8,MATCH(B102,'Rate Card'!$A$4:$A$8,0))),0))</f>
        <v/>
      </c>
      <c r="M102" s="18">
        <f>IF('Shipment Data'!A102="","",IF(D102="RTO",(J102+K102)*INDEX('Rate Card'!$H$4:$H$8,MATCH(B102,'Rate Card'!$A$4:$A$8,0)),0))</f>
        <v/>
      </c>
      <c r="N102" s="19">
        <f>IF('Shipment Data'!A102="","",J102+K102+L102+M102)</f>
        <v/>
      </c>
      <c r="O102" s="18">
        <f>IF('Shipment Data'!A102="","",'Shipment Data'!L102)</f>
        <v/>
      </c>
      <c r="P102" s="19">
        <f>IF('Shipment Data'!A102="","",O102-N102)</f>
        <v/>
      </c>
      <c r="Q102" s="6">
        <f>IF('Shipment Data'!A102="","",IF(P102&gt;1,"OVERCHARGED",IF(P102&lt;-1,"UNDERBILLED","MATCH")))</f>
        <v/>
      </c>
    </row>
    <row r="103">
      <c r="A103" s="15">
        <f>IF('Shipment Data'!A103="","",'Shipment Data'!A103)</f>
        <v/>
      </c>
      <c r="B103" s="15">
        <f>IF('Shipment Data'!A103="","",'Shipment Data'!C103)</f>
        <v/>
      </c>
      <c r="C103" s="15">
        <f>IF('Shipment Data'!A103="","",'Shipment Data'!D103)</f>
        <v/>
      </c>
      <c r="D103" s="15">
        <f>IF('Shipment Data'!A103="","",'Shipment Data'!J103)</f>
        <v/>
      </c>
      <c r="E103" s="16">
        <f>IF('Shipment Data'!A103="","",'Shipment Data'!F103)</f>
        <v/>
      </c>
      <c r="F103" s="17">
        <f>IF('Shipment Data'!A103="","",('Shipment Data'!G103*'Shipment Data'!H103*'Shipment Data'!I103)/5000)</f>
        <v/>
      </c>
      <c r="G103" s="17">
        <f>IF('Shipment Data'!A103="","",CEILING(MAX(E103,F103),0.5))</f>
        <v/>
      </c>
      <c r="H103" s="16">
        <f>IF('Shipment Data'!A103="","",'Shipment Data'!K103)</f>
        <v/>
      </c>
      <c r="I103" s="6">
        <f>IF('Shipment Data'!A103="","",IF(H103&gt;G103,"COURIER OVER-ROUNDED WEIGHT","OK"))</f>
        <v/>
      </c>
      <c r="J103" s="18">
        <f>IF('Shipment Data'!A103="","",INDEX('Rate Card'!$D$4:$D$8,MATCH(B103,'Rate Card'!$A$4:$A$8,0)))</f>
        <v/>
      </c>
      <c r="K103" s="18">
        <f>IF('Shipment Data'!A103="","",ROUND((G103-INDEX('Rate Card'!$C$4:$C$8,MATCH(B103,'Rate Card'!$A$4:$A$8,0)))/0.5,0)*INDEX('Rate Card'!$E$4:$E$8,MATCH(B103,'Rate Card'!$A$4:$A$8,0)))</f>
        <v/>
      </c>
      <c r="L103" s="18">
        <f>IF('Shipment Data'!A103="","",IF(C103="COD",MAX('Shipment Data'!E103*INDEX('Rate Card'!$F$4:$F$8,MATCH(B103,'Rate Card'!$A$4:$A$8,0)),INDEX('Rate Card'!$G$4:$G$8,MATCH(B103,'Rate Card'!$A$4:$A$8,0))),0))</f>
        <v/>
      </c>
      <c r="M103" s="18">
        <f>IF('Shipment Data'!A103="","",IF(D103="RTO",(J103+K103)*INDEX('Rate Card'!$H$4:$H$8,MATCH(B103,'Rate Card'!$A$4:$A$8,0)),0))</f>
        <v/>
      </c>
      <c r="N103" s="19">
        <f>IF('Shipment Data'!A103="","",J103+K103+L103+M103)</f>
        <v/>
      </c>
      <c r="O103" s="18">
        <f>IF('Shipment Data'!A103="","",'Shipment Data'!L103)</f>
        <v/>
      </c>
      <c r="P103" s="19">
        <f>IF('Shipment Data'!A103="","",O103-N103)</f>
        <v/>
      </c>
      <c r="Q103" s="6">
        <f>IF('Shipment Data'!A103="","",IF(P103&gt;1,"OVERCHARGED",IF(P103&lt;-1,"UNDERBILLED","MATCH")))</f>
        <v/>
      </c>
    </row>
    <row r="104">
      <c r="A104" s="15">
        <f>IF('Shipment Data'!A104="","",'Shipment Data'!A104)</f>
        <v/>
      </c>
      <c r="B104" s="15">
        <f>IF('Shipment Data'!A104="","",'Shipment Data'!C104)</f>
        <v/>
      </c>
      <c r="C104" s="15">
        <f>IF('Shipment Data'!A104="","",'Shipment Data'!D104)</f>
        <v/>
      </c>
      <c r="D104" s="15">
        <f>IF('Shipment Data'!A104="","",'Shipment Data'!J104)</f>
        <v/>
      </c>
      <c r="E104" s="16">
        <f>IF('Shipment Data'!A104="","",'Shipment Data'!F104)</f>
        <v/>
      </c>
      <c r="F104" s="17">
        <f>IF('Shipment Data'!A104="","",('Shipment Data'!G104*'Shipment Data'!H104*'Shipment Data'!I104)/5000)</f>
        <v/>
      </c>
      <c r="G104" s="17">
        <f>IF('Shipment Data'!A104="","",CEILING(MAX(E104,F104),0.5))</f>
        <v/>
      </c>
      <c r="H104" s="16">
        <f>IF('Shipment Data'!A104="","",'Shipment Data'!K104)</f>
        <v/>
      </c>
      <c r="I104" s="6">
        <f>IF('Shipment Data'!A104="","",IF(H104&gt;G104,"COURIER OVER-ROUNDED WEIGHT","OK"))</f>
        <v/>
      </c>
      <c r="J104" s="18">
        <f>IF('Shipment Data'!A104="","",INDEX('Rate Card'!$D$4:$D$8,MATCH(B104,'Rate Card'!$A$4:$A$8,0)))</f>
        <v/>
      </c>
      <c r="K104" s="18">
        <f>IF('Shipment Data'!A104="","",ROUND((G104-INDEX('Rate Card'!$C$4:$C$8,MATCH(B104,'Rate Card'!$A$4:$A$8,0)))/0.5,0)*INDEX('Rate Card'!$E$4:$E$8,MATCH(B104,'Rate Card'!$A$4:$A$8,0)))</f>
        <v/>
      </c>
      <c r="L104" s="18">
        <f>IF('Shipment Data'!A104="","",IF(C104="COD",MAX('Shipment Data'!E104*INDEX('Rate Card'!$F$4:$F$8,MATCH(B104,'Rate Card'!$A$4:$A$8,0)),INDEX('Rate Card'!$G$4:$G$8,MATCH(B104,'Rate Card'!$A$4:$A$8,0))),0))</f>
        <v/>
      </c>
      <c r="M104" s="18">
        <f>IF('Shipment Data'!A104="","",IF(D104="RTO",(J104+K104)*INDEX('Rate Card'!$H$4:$H$8,MATCH(B104,'Rate Card'!$A$4:$A$8,0)),0))</f>
        <v/>
      </c>
      <c r="N104" s="19">
        <f>IF('Shipment Data'!A104="","",J104+K104+L104+M104)</f>
        <v/>
      </c>
      <c r="O104" s="18">
        <f>IF('Shipment Data'!A104="","",'Shipment Data'!L104)</f>
        <v/>
      </c>
      <c r="P104" s="19">
        <f>IF('Shipment Data'!A104="","",O104-N104)</f>
        <v/>
      </c>
      <c r="Q104" s="6">
        <f>IF('Shipment Data'!A104="","",IF(P104&gt;1,"OVERCHARGED",IF(P104&lt;-1,"UNDERBILLED","MATCH")))</f>
        <v/>
      </c>
    </row>
    <row r="105">
      <c r="A105" s="15">
        <f>IF('Shipment Data'!A105="","",'Shipment Data'!A105)</f>
        <v/>
      </c>
      <c r="B105" s="15">
        <f>IF('Shipment Data'!A105="","",'Shipment Data'!C105)</f>
        <v/>
      </c>
      <c r="C105" s="15">
        <f>IF('Shipment Data'!A105="","",'Shipment Data'!D105)</f>
        <v/>
      </c>
      <c r="D105" s="15">
        <f>IF('Shipment Data'!A105="","",'Shipment Data'!J105)</f>
        <v/>
      </c>
      <c r="E105" s="16">
        <f>IF('Shipment Data'!A105="","",'Shipment Data'!F105)</f>
        <v/>
      </c>
      <c r="F105" s="17">
        <f>IF('Shipment Data'!A105="","",('Shipment Data'!G105*'Shipment Data'!H105*'Shipment Data'!I105)/5000)</f>
        <v/>
      </c>
      <c r="G105" s="17">
        <f>IF('Shipment Data'!A105="","",CEILING(MAX(E105,F105),0.5))</f>
        <v/>
      </c>
      <c r="H105" s="16">
        <f>IF('Shipment Data'!A105="","",'Shipment Data'!K105)</f>
        <v/>
      </c>
      <c r="I105" s="6">
        <f>IF('Shipment Data'!A105="","",IF(H105&gt;G105,"COURIER OVER-ROUNDED WEIGHT","OK"))</f>
        <v/>
      </c>
      <c r="J105" s="18">
        <f>IF('Shipment Data'!A105="","",INDEX('Rate Card'!$D$4:$D$8,MATCH(B105,'Rate Card'!$A$4:$A$8,0)))</f>
        <v/>
      </c>
      <c r="K105" s="18">
        <f>IF('Shipment Data'!A105="","",ROUND((G105-INDEX('Rate Card'!$C$4:$C$8,MATCH(B105,'Rate Card'!$A$4:$A$8,0)))/0.5,0)*INDEX('Rate Card'!$E$4:$E$8,MATCH(B105,'Rate Card'!$A$4:$A$8,0)))</f>
        <v/>
      </c>
      <c r="L105" s="18">
        <f>IF('Shipment Data'!A105="","",IF(C105="COD",MAX('Shipment Data'!E105*INDEX('Rate Card'!$F$4:$F$8,MATCH(B105,'Rate Card'!$A$4:$A$8,0)),INDEX('Rate Card'!$G$4:$G$8,MATCH(B105,'Rate Card'!$A$4:$A$8,0))),0))</f>
        <v/>
      </c>
      <c r="M105" s="18">
        <f>IF('Shipment Data'!A105="","",IF(D105="RTO",(J105+K105)*INDEX('Rate Card'!$H$4:$H$8,MATCH(B105,'Rate Card'!$A$4:$A$8,0)),0))</f>
        <v/>
      </c>
      <c r="N105" s="19">
        <f>IF('Shipment Data'!A105="","",J105+K105+L105+M105)</f>
        <v/>
      </c>
      <c r="O105" s="18">
        <f>IF('Shipment Data'!A105="","",'Shipment Data'!L105)</f>
        <v/>
      </c>
      <c r="P105" s="19">
        <f>IF('Shipment Data'!A105="","",O105-N105)</f>
        <v/>
      </c>
      <c r="Q105" s="6">
        <f>IF('Shipment Data'!A105="","",IF(P105&gt;1,"OVERCHARGED",IF(P105&lt;-1,"UNDERBILLED","MATCH")))</f>
        <v/>
      </c>
    </row>
    <row r="106">
      <c r="A106" s="15">
        <f>IF('Shipment Data'!A106="","",'Shipment Data'!A106)</f>
        <v/>
      </c>
      <c r="B106" s="15">
        <f>IF('Shipment Data'!A106="","",'Shipment Data'!C106)</f>
        <v/>
      </c>
      <c r="C106" s="15">
        <f>IF('Shipment Data'!A106="","",'Shipment Data'!D106)</f>
        <v/>
      </c>
      <c r="D106" s="15">
        <f>IF('Shipment Data'!A106="","",'Shipment Data'!J106)</f>
        <v/>
      </c>
      <c r="E106" s="16">
        <f>IF('Shipment Data'!A106="","",'Shipment Data'!F106)</f>
        <v/>
      </c>
      <c r="F106" s="17">
        <f>IF('Shipment Data'!A106="","",('Shipment Data'!G106*'Shipment Data'!H106*'Shipment Data'!I106)/5000)</f>
        <v/>
      </c>
      <c r="G106" s="17">
        <f>IF('Shipment Data'!A106="","",CEILING(MAX(E106,F106),0.5))</f>
        <v/>
      </c>
      <c r="H106" s="16">
        <f>IF('Shipment Data'!A106="","",'Shipment Data'!K106)</f>
        <v/>
      </c>
      <c r="I106" s="6">
        <f>IF('Shipment Data'!A106="","",IF(H106&gt;G106,"COURIER OVER-ROUNDED WEIGHT","OK"))</f>
        <v/>
      </c>
      <c r="J106" s="18">
        <f>IF('Shipment Data'!A106="","",INDEX('Rate Card'!$D$4:$D$8,MATCH(B106,'Rate Card'!$A$4:$A$8,0)))</f>
        <v/>
      </c>
      <c r="K106" s="18">
        <f>IF('Shipment Data'!A106="","",ROUND((G106-INDEX('Rate Card'!$C$4:$C$8,MATCH(B106,'Rate Card'!$A$4:$A$8,0)))/0.5,0)*INDEX('Rate Card'!$E$4:$E$8,MATCH(B106,'Rate Card'!$A$4:$A$8,0)))</f>
        <v/>
      </c>
      <c r="L106" s="18">
        <f>IF('Shipment Data'!A106="","",IF(C106="COD",MAX('Shipment Data'!E106*INDEX('Rate Card'!$F$4:$F$8,MATCH(B106,'Rate Card'!$A$4:$A$8,0)),INDEX('Rate Card'!$G$4:$G$8,MATCH(B106,'Rate Card'!$A$4:$A$8,0))),0))</f>
        <v/>
      </c>
      <c r="M106" s="18">
        <f>IF('Shipment Data'!A106="","",IF(D106="RTO",(J106+K106)*INDEX('Rate Card'!$H$4:$H$8,MATCH(B106,'Rate Card'!$A$4:$A$8,0)),0))</f>
        <v/>
      </c>
      <c r="N106" s="19">
        <f>IF('Shipment Data'!A106="","",J106+K106+L106+M106)</f>
        <v/>
      </c>
      <c r="O106" s="18">
        <f>IF('Shipment Data'!A106="","",'Shipment Data'!L106)</f>
        <v/>
      </c>
      <c r="P106" s="19">
        <f>IF('Shipment Data'!A106="","",O106-N106)</f>
        <v/>
      </c>
      <c r="Q106" s="6">
        <f>IF('Shipment Data'!A106="","",IF(P106&gt;1,"OVERCHARGED",IF(P106&lt;-1,"UNDERBILLED","MATCH")))</f>
        <v/>
      </c>
    </row>
    <row r="107">
      <c r="A107" s="15">
        <f>IF('Shipment Data'!A107="","",'Shipment Data'!A107)</f>
        <v/>
      </c>
      <c r="B107" s="15">
        <f>IF('Shipment Data'!A107="","",'Shipment Data'!C107)</f>
        <v/>
      </c>
      <c r="C107" s="15">
        <f>IF('Shipment Data'!A107="","",'Shipment Data'!D107)</f>
        <v/>
      </c>
      <c r="D107" s="15">
        <f>IF('Shipment Data'!A107="","",'Shipment Data'!J107)</f>
        <v/>
      </c>
      <c r="E107" s="16">
        <f>IF('Shipment Data'!A107="","",'Shipment Data'!F107)</f>
        <v/>
      </c>
      <c r="F107" s="17">
        <f>IF('Shipment Data'!A107="","",('Shipment Data'!G107*'Shipment Data'!H107*'Shipment Data'!I107)/5000)</f>
        <v/>
      </c>
      <c r="G107" s="17">
        <f>IF('Shipment Data'!A107="","",CEILING(MAX(E107,F107),0.5))</f>
        <v/>
      </c>
      <c r="H107" s="16">
        <f>IF('Shipment Data'!A107="","",'Shipment Data'!K107)</f>
        <v/>
      </c>
      <c r="I107" s="6">
        <f>IF('Shipment Data'!A107="","",IF(H107&gt;G107,"COURIER OVER-ROUNDED WEIGHT","OK"))</f>
        <v/>
      </c>
      <c r="J107" s="18">
        <f>IF('Shipment Data'!A107="","",INDEX('Rate Card'!$D$4:$D$8,MATCH(B107,'Rate Card'!$A$4:$A$8,0)))</f>
        <v/>
      </c>
      <c r="K107" s="18">
        <f>IF('Shipment Data'!A107="","",ROUND((G107-INDEX('Rate Card'!$C$4:$C$8,MATCH(B107,'Rate Card'!$A$4:$A$8,0)))/0.5,0)*INDEX('Rate Card'!$E$4:$E$8,MATCH(B107,'Rate Card'!$A$4:$A$8,0)))</f>
        <v/>
      </c>
      <c r="L107" s="18">
        <f>IF('Shipment Data'!A107="","",IF(C107="COD",MAX('Shipment Data'!E107*INDEX('Rate Card'!$F$4:$F$8,MATCH(B107,'Rate Card'!$A$4:$A$8,0)),INDEX('Rate Card'!$G$4:$G$8,MATCH(B107,'Rate Card'!$A$4:$A$8,0))),0))</f>
        <v/>
      </c>
      <c r="M107" s="18">
        <f>IF('Shipment Data'!A107="","",IF(D107="RTO",(J107+K107)*INDEX('Rate Card'!$H$4:$H$8,MATCH(B107,'Rate Card'!$A$4:$A$8,0)),0))</f>
        <v/>
      </c>
      <c r="N107" s="19">
        <f>IF('Shipment Data'!A107="","",J107+K107+L107+M107)</f>
        <v/>
      </c>
      <c r="O107" s="18">
        <f>IF('Shipment Data'!A107="","",'Shipment Data'!L107)</f>
        <v/>
      </c>
      <c r="P107" s="19">
        <f>IF('Shipment Data'!A107="","",O107-N107)</f>
        <v/>
      </c>
      <c r="Q107" s="6">
        <f>IF('Shipment Data'!A107="","",IF(P107&gt;1,"OVERCHARGED",IF(P107&lt;-1,"UNDERBILLED","MATCH")))</f>
        <v/>
      </c>
    </row>
    <row r="108">
      <c r="A108" s="15">
        <f>IF('Shipment Data'!A108="","",'Shipment Data'!A108)</f>
        <v/>
      </c>
      <c r="B108" s="15">
        <f>IF('Shipment Data'!A108="","",'Shipment Data'!C108)</f>
        <v/>
      </c>
      <c r="C108" s="15">
        <f>IF('Shipment Data'!A108="","",'Shipment Data'!D108)</f>
        <v/>
      </c>
      <c r="D108" s="15">
        <f>IF('Shipment Data'!A108="","",'Shipment Data'!J108)</f>
        <v/>
      </c>
      <c r="E108" s="16">
        <f>IF('Shipment Data'!A108="","",'Shipment Data'!F108)</f>
        <v/>
      </c>
      <c r="F108" s="17">
        <f>IF('Shipment Data'!A108="","",('Shipment Data'!G108*'Shipment Data'!H108*'Shipment Data'!I108)/5000)</f>
        <v/>
      </c>
      <c r="G108" s="17">
        <f>IF('Shipment Data'!A108="","",CEILING(MAX(E108,F108),0.5))</f>
        <v/>
      </c>
      <c r="H108" s="16">
        <f>IF('Shipment Data'!A108="","",'Shipment Data'!K108)</f>
        <v/>
      </c>
      <c r="I108" s="6">
        <f>IF('Shipment Data'!A108="","",IF(H108&gt;G108,"COURIER OVER-ROUNDED WEIGHT","OK"))</f>
        <v/>
      </c>
      <c r="J108" s="18">
        <f>IF('Shipment Data'!A108="","",INDEX('Rate Card'!$D$4:$D$8,MATCH(B108,'Rate Card'!$A$4:$A$8,0)))</f>
        <v/>
      </c>
      <c r="K108" s="18">
        <f>IF('Shipment Data'!A108="","",ROUND((G108-INDEX('Rate Card'!$C$4:$C$8,MATCH(B108,'Rate Card'!$A$4:$A$8,0)))/0.5,0)*INDEX('Rate Card'!$E$4:$E$8,MATCH(B108,'Rate Card'!$A$4:$A$8,0)))</f>
        <v/>
      </c>
      <c r="L108" s="18">
        <f>IF('Shipment Data'!A108="","",IF(C108="COD",MAX('Shipment Data'!E108*INDEX('Rate Card'!$F$4:$F$8,MATCH(B108,'Rate Card'!$A$4:$A$8,0)),INDEX('Rate Card'!$G$4:$G$8,MATCH(B108,'Rate Card'!$A$4:$A$8,0))),0))</f>
        <v/>
      </c>
      <c r="M108" s="18">
        <f>IF('Shipment Data'!A108="","",IF(D108="RTO",(J108+K108)*INDEX('Rate Card'!$H$4:$H$8,MATCH(B108,'Rate Card'!$A$4:$A$8,0)),0))</f>
        <v/>
      </c>
      <c r="N108" s="19">
        <f>IF('Shipment Data'!A108="","",J108+K108+L108+M108)</f>
        <v/>
      </c>
      <c r="O108" s="18">
        <f>IF('Shipment Data'!A108="","",'Shipment Data'!L108)</f>
        <v/>
      </c>
      <c r="P108" s="19">
        <f>IF('Shipment Data'!A108="","",O108-N108)</f>
        <v/>
      </c>
      <c r="Q108" s="6">
        <f>IF('Shipment Data'!A108="","",IF(P108&gt;1,"OVERCHARGED",IF(P108&lt;-1,"UNDERBILLED","MATCH")))</f>
        <v/>
      </c>
    </row>
    <row r="109">
      <c r="A109" s="15">
        <f>IF('Shipment Data'!A109="","",'Shipment Data'!A109)</f>
        <v/>
      </c>
      <c r="B109" s="15">
        <f>IF('Shipment Data'!A109="","",'Shipment Data'!C109)</f>
        <v/>
      </c>
      <c r="C109" s="15">
        <f>IF('Shipment Data'!A109="","",'Shipment Data'!D109)</f>
        <v/>
      </c>
      <c r="D109" s="15">
        <f>IF('Shipment Data'!A109="","",'Shipment Data'!J109)</f>
        <v/>
      </c>
      <c r="E109" s="16">
        <f>IF('Shipment Data'!A109="","",'Shipment Data'!F109)</f>
        <v/>
      </c>
      <c r="F109" s="17">
        <f>IF('Shipment Data'!A109="","",('Shipment Data'!G109*'Shipment Data'!H109*'Shipment Data'!I109)/5000)</f>
        <v/>
      </c>
      <c r="G109" s="17">
        <f>IF('Shipment Data'!A109="","",CEILING(MAX(E109,F109),0.5))</f>
        <v/>
      </c>
      <c r="H109" s="16">
        <f>IF('Shipment Data'!A109="","",'Shipment Data'!K109)</f>
        <v/>
      </c>
      <c r="I109" s="6">
        <f>IF('Shipment Data'!A109="","",IF(H109&gt;G109,"COURIER OVER-ROUNDED WEIGHT","OK"))</f>
        <v/>
      </c>
      <c r="J109" s="18">
        <f>IF('Shipment Data'!A109="","",INDEX('Rate Card'!$D$4:$D$8,MATCH(B109,'Rate Card'!$A$4:$A$8,0)))</f>
        <v/>
      </c>
      <c r="K109" s="18">
        <f>IF('Shipment Data'!A109="","",ROUND((G109-INDEX('Rate Card'!$C$4:$C$8,MATCH(B109,'Rate Card'!$A$4:$A$8,0)))/0.5,0)*INDEX('Rate Card'!$E$4:$E$8,MATCH(B109,'Rate Card'!$A$4:$A$8,0)))</f>
        <v/>
      </c>
      <c r="L109" s="18">
        <f>IF('Shipment Data'!A109="","",IF(C109="COD",MAX('Shipment Data'!E109*INDEX('Rate Card'!$F$4:$F$8,MATCH(B109,'Rate Card'!$A$4:$A$8,0)),INDEX('Rate Card'!$G$4:$G$8,MATCH(B109,'Rate Card'!$A$4:$A$8,0))),0))</f>
        <v/>
      </c>
      <c r="M109" s="18">
        <f>IF('Shipment Data'!A109="","",IF(D109="RTO",(J109+K109)*INDEX('Rate Card'!$H$4:$H$8,MATCH(B109,'Rate Card'!$A$4:$A$8,0)),0))</f>
        <v/>
      </c>
      <c r="N109" s="19">
        <f>IF('Shipment Data'!A109="","",J109+K109+L109+M109)</f>
        <v/>
      </c>
      <c r="O109" s="18">
        <f>IF('Shipment Data'!A109="","",'Shipment Data'!L109)</f>
        <v/>
      </c>
      <c r="P109" s="19">
        <f>IF('Shipment Data'!A109="","",O109-N109)</f>
        <v/>
      </c>
      <c r="Q109" s="6">
        <f>IF('Shipment Data'!A109="","",IF(P109&gt;1,"OVERCHARGED",IF(P109&lt;-1,"UNDERBILLED","MATCH")))</f>
        <v/>
      </c>
    </row>
    <row r="110">
      <c r="A110" s="15">
        <f>IF('Shipment Data'!A110="","",'Shipment Data'!A110)</f>
        <v/>
      </c>
      <c r="B110" s="15">
        <f>IF('Shipment Data'!A110="","",'Shipment Data'!C110)</f>
        <v/>
      </c>
      <c r="C110" s="15">
        <f>IF('Shipment Data'!A110="","",'Shipment Data'!D110)</f>
        <v/>
      </c>
      <c r="D110" s="15">
        <f>IF('Shipment Data'!A110="","",'Shipment Data'!J110)</f>
        <v/>
      </c>
      <c r="E110" s="16">
        <f>IF('Shipment Data'!A110="","",'Shipment Data'!F110)</f>
        <v/>
      </c>
      <c r="F110" s="17">
        <f>IF('Shipment Data'!A110="","",('Shipment Data'!G110*'Shipment Data'!H110*'Shipment Data'!I110)/5000)</f>
        <v/>
      </c>
      <c r="G110" s="17">
        <f>IF('Shipment Data'!A110="","",CEILING(MAX(E110,F110),0.5))</f>
        <v/>
      </c>
      <c r="H110" s="16">
        <f>IF('Shipment Data'!A110="","",'Shipment Data'!K110)</f>
        <v/>
      </c>
      <c r="I110" s="6">
        <f>IF('Shipment Data'!A110="","",IF(H110&gt;G110,"COURIER OVER-ROUNDED WEIGHT","OK"))</f>
        <v/>
      </c>
      <c r="J110" s="18">
        <f>IF('Shipment Data'!A110="","",INDEX('Rate Card'!$D$4:$D$8,MATCH(B110,'Rate Card'!$A$4:$A$8,0)))</f>
        <v/>
      </c>
      <c r="K110" s="18">
        <f>IF('Shipment Data'!A110="","",ROUND((G110-INDEX('Rate Card'!$C$4:$C$8,MATCH(B110,'Rate Card'!$A$4:$A$8,0)))/0.5,0)*INDEX('Rate Card'!$E$4:$E$8,MATCH(B110,'Rate Card'!$A$4:$A$8,0)))</f>
        <v/>
      </c>
      <c r="L110" s="18">
        <f>IF('Shipment Data'!A110="","",IF(C110="COD",MAX('Shipment Data'!E110*INDEX('Rate Card'!$F$4:$F$8,MATCH(B110,'Rate Card'!$A$4:$A$8,0)),INDEX('Rate Card'!$G$4:$G$8,MATCH(B110,'Rate Card'!$A$4:$A$8,0))),0))</f>
        <v/>
      </c>
      <c r="M110" s="18">
        <f>IF('Shipment Data'!A110="","",IF(D110="RTO",(J110+K110)*INDEX('Rate Card'!$H$4:$H$8,MATCH(B110,'Rate Card'!$A$4:$A$8,0)),0))</f>
        <v/>
      </c>
      <c r="N110" s="19">
        <f>IF('Shipment Data'!A110="","",J110+K110+L110+M110)</f>
        <v/>
      </c>
      <c r="O110" s="18">
        <f>IF('Shipment Data'!A110="","",'Shipment Data'!L110)</f>
        <v/>
      </c>
      <c r="P110" s="19">
        <f>IF('Shipment Data'!A110="","",O110-N110)</f>
        <v/>
      </c>
      <c r="Q110" s="6">
        <f>IF('Shipment Data'!A110="","",IF(P110&gt;1,"OVERCHARGED",IF(P110&lt;-1,"UNDERBILLED","MATCH")))</f>
        <v/>
      </c>
    </row>
    <row r="111">
      <c r="A111" s="15">
        <f>IF('Shipment Data'!A111="","",'Shipment Data'!A111)</f>
        <v/>
      </c>
      <c r="B111" s="15">
        <f>IF('Shipment Data'!A111="","",'Shipment Data'!C111)</f>
        <v/>
      </c>
      <c r="C111" s="15">
        <f>IF('Shipment Data'!A111="","",'Shipment Data'!D111)</f>
        <v/>
      </c>
      <c r="D111" s="15">
        <f>IF('Shipment Data'!A111="","",'Shipment Data'!J111)</f>
        <v/>
      </c>
      <c r="E111" s="16">
        <f>IF('Shipment Data'!A111="","",'Shipment Data'!F111)</f>
        <v/>
      </c>
      <c r="F111" s="17">
        <f>IF('Shipment Data'!A111="","",('Shipment Data'!G111*'Shipment Data'!H111*'Shipment Data'!I111)/5000)</f>
        <v/>
      </c>
      <c r="G111" s="17">
        <f>IF('Shipment Data'!A111="","",CEILING(MAX(E111,F111),0.5))</f>
        <v/>
      </c>
      <c r="H111" s="16">
        <f>IF('Shipment Data'!A111="","",'Shipment Data'!K111)</f>
        <v/>
      </c>
      <c r="I111" s="6">
        <f>IF('Shipment Data'!A111="","",IF(H111&gt;G111,"COURIER OVER-ROUNDED WEIGHT","OK"))</f>
        <v/>
      </c>
      <c r="J111" s="18">
        <f>IF('Shipment Data'!A111="","",INDEX('Rate Card'!$D$4:$D$8,MATCH(B111,'Rate Card'!$A$4:$A$8,0)))</f>
        <v/>
      </c>
      <c r="K111" s="18">
        <f>IF('Shipment Data'!A111="","",ROUND((G111-INDEX('Rate Card'!$C$4:$C$8,MATCH(B111,'Rate Card'!$A$4:$A$8,0)))/0.5,0)*INDEX('Rate Card'!$E$4:$E$8,MATCH(B111,'Rate Card'!$A$4:$A$8,0)))</f>
        <v/>
      </c>
      <c r="L111" s="18">
        <f>IF('Shipment Data'!A111="","",IF(C111="COD",MAX('Shipment Data'!E111*INDEX('Rate Card'!$F$4:$F$8,MATCH(B111,'Rate Card'!$A$4:$A$8,0)),INDEX('Rate Card'!$G$4:$G$8,MATCH(B111,'Rate Card'!$A$4:$A$8,0))),0))</f>
        <v/>
      </c>
      <c r="M111" s="18">
        <f>IF('Shipment Data'!A111="","",IF(D111="RTO",(J111+K111)*INDEX('Rate Card'!$H$4:$H$8,MATCH(B111,'Rate Card'!$A$4:$A$8,0)),0))</f>
        <v/>
      </c>
      <c r="N111" s="19">
        <f>IF('Shipment Data'!A111="","",J111+K111+L111+M111)</f>
        <v/>
      </c>
      <c r="O111" s="18">
        <f>IF('Shipment Data'!A111="","",'Shipment Data'!L111)</f>
        <v/>
      </c>
      <c r="P111" s="19">
        <f>IF('Shipment Data'!A111="","",O111-N111)</f>
        <v/>
      </c>
      <c r="Q111" s="6">
        <f>IF('Shipment Data'!A111="","",IF(P111&gt;1,"OVERCHARGED",IF(P111&lt;-1,"UNDERBILLED","MATCH")))</f>
        <v/>
      </c>
    </row>
    <row r="112">
      <c r="A112" s="15">
        <f>IF('Shipment Data'!A112="","",'Shipment Data'!A112)</f>
        <v/>
      </c>
      <c r="B112" s="15">
        <f>IF('Shipment Data'!A112="","",'Shipment Data'!C112)</f>
        <v/>
      </c>
      <c r="C112" s="15">
        <f>IF('Shipment Data'!A112="","",'Shipment Data'!D112)</f>
        <v/>
      </c>
      <c r="D112" s="15">
        <f>IF('Shipment Data'!A112="","",'Shipment Data'!J112)</f>
        <v/>
      </c>
      <c r="E112" s="16">
        <f>IF('Shipment Data'!A112="","",'Shipment Data'!F112)</f>
        <v/>
      </c>
      <c r="F112" s="17">
        <f>IF('Shipment Data'!A112="","",('Shipment Data'!G112*'Shipment Data'!H112*'Shipment Data'!I112)/5000)</f>
        <v/>
      </c>
      <c r="G112" s="17">
        <f>IF('Shipment Data'!A112="","",CEILING(MAX(E112,F112),0.5))</f>
        <v/>
      </c>
      <c r="H112" s="16">
        <f>IF('Shipment Data'!A112="","",'Shipment Data'!K112)</f>
        <v/>
      </c>
      <c r="I112" s="6">
        <f>IF('Shipment Data'!A112="","",IF(H112&gt;G112,"COURIER OVER-ROUNDED WEIGHT","OK"))</f>
        <v/>
      </c>
      <c r="J112" s="18">
        <f>IF('Shipment Data'!A112="","",INDEX('Rate Card'!$D$4:$D$8,MATCH(B112,'Rate Card'!$A$4:$A$8,0)))</f>
        <v/>
      </c>
      <c r="K112" s="18">
        <f>IF('Shipment Data'!A112="","",ROUND((G112-INDEX('Rate Card'!$C$4:$C$8,MATCH(B112,'Rate Card'!$A$4:$A$8,0)))/0.5,0)*INDEX('Rate Card'!$E$4:$E$8,MATCH(B112,'Rate Card'!$A$4:$A$8,0)))</f>
        <v/>
      </c>
      <c r="L112" s="18">
        <f>IF('Shipment Data'!A112="","",IF(C112="COD",MAX('Shipment Data'!E112*INDEX('Rate Card'!$F$4:$F$8,MATCH(B112,'Rate Card'!$A$4:$A$8,0)),INDEX('Rate Card'!$G$4:$G$8,MATCH(B112,'Rate Card'!$A$4:$A$8,0))),0))</f>
        <v/>
      </c>
      <c r="M112" s="18">
        <f>IF('Shipment Data'!A112="","",IF(D112="RTO",(J112+K112)*INDEX('Rate Card'!$H$4:$H$8,MATCH(B112,'Rate Card'!$A$4:$A$8,0)),0))</f>
        <v/>
      </c>
      <c r="N112" s="19">
        <f>IF('Shipment Data'!A112="","",J112+K112+L112+M112)</f>
        <v/>
      </c>
      <c r="O112" s="18">
        <f>IF('Shipment Data'!A112="","",'Shipment Data'!L112)</f>
        <v/>
      </c>
      <c r="P112" s="19">
        <f>IF('Shipment Data'!A112="","",O112-N112)</f>
        <v/>
      </c>
      <c r="Q112" s="6">
        <f>IF('Shipment Data'!A112="","",IF(P112&gt;1,"OVERCHARGED",IF(P112&lt;-1,"UNDERBILLED","MATCH")))</f>
        <v/>
      </c>
    </row>
    <row r="113">
      <c r="A113" s="15">
        <f>IF('Shipment Data'!A113="","",'Shipment Data'!A113)</f>
        <v/>
      </c>
      <c r="B113" s="15">
        <f>IF('Shipment Data'!A113="","",'Shipment Data'!C113)</f>
        <v/>
      </c>
      <c r="C113" s="15">
        <f>IF('Shipment Data'!A113="","",'Shipment Data'!D113)</f>
        <v/>
      </c>
      <c r="D113" s="15">
        <f>IF('Shipment Data'!A113="","",'Shipment Data'!J113)</f>
        <v/>
      </c>
      <c r="E113" s="16">
        <f>IF('Shipment Data'!A113="","",'Shipment Data'!F113)</f>
        <v/>
      </c>
      <c r="F113" s="17">
        <f>IF('Shipment Data'!A113="","",('Shipment Data'!G113*'Shipment Data'!H113*'Shipment Data'!I113)/5000)</f>
        <v/>
      </c>
      <c r="G113" s="17">
        <f>IF('Shipment Data'!A113="","",CEILING(MAX(E113,F113),0.5))</f>
        <v/>
      </c>
      <c r="H113" s="16">
        <f>IF('Shipment Data'!A113="","",'Shipment Data'!K113)</f>
        <v/>
      </c>
      <c r="I113" s="6">
        <f>IF('Shipment Data'!A113="","",IF(H113&gt;G113,"COURIER OVER-ROUNDED WEIGHT","OK"))</f>
        <v/>
      </c>
      <c r="J113" s="18">
        <f>IF('Shipment Data'!A113="","",INDEX('Rate Card'!$D$4:$D$8,MATCH(B113,'Rate Card'!$A$4:$A$8,0)))</f>
        <v/>
      </c>
      <c r="K113" s="18">
        <f>IF('Shipment Data'!A113="","",ROUND((G113-INDEX('Rate Card'!$C$4:$C$8,MATCH(B113,'Rate Card'!$A$4:$A$8,0)))/0.5,0)*INDEX('Rate Card'!$E$4:$E$8,MATCH(B113,'Rate Card'!$A$4:$A$8,0)))</f>
        <v/>
      </c>
      <c r="L113" s="18">
        <f>IF('Shipment Data'!A113="","",IF(C113="COD",MAX('Shipment Data'!E113*INDEX('Rate Card'!$F$4:$F$8,MATCH(B113,'Rate Card'!$A$4:$A$8,0)),INDEX('Rate Card'!$G$4:$G$8,MATCH(B113,'Rate Card'!$A$4:$A$8,0))),0))</f>
        <v/>
      </c>
      <c r="M113" s="18">
        <f>IF('Shipment Data'!A113="","",IF(D113="RTO",(J113+K113)*INDEX('Rate Card'!$H$4:$H$8,MATCH(B113,'Rate Card'!$A$4:$A$8,0)),0))</f>
        <v/>
      </c>
      <c r="N113" s="19">
        <f>IF('Shipment Data'!A113="","",J113+K113+L113+M113)</f>
        <v/>
      </c>
      <c r="O113" s="18">
        <f>IF('Shipment Data'!A113="","",'Shipment Data'!L113)</f>
        <v/>
      </c>
      <c r="P113" s="19">
        <f>IF('Shipment Data'!A113="","",O113-N113)</f>
        <v/>
      </c>
      <c r="Q113" s="6">
        <f>IF('Shipment Data'!A113="","",IF(P113&gt;1,"OVERCHARGED",IF(P113&lt;-1,"UNDERBILLED","MATCH")))</f>
        <v/>
      </c>
    </row>
    <row r="114">
      <c r="A114" s="15">
        <f>IF('Shipment Data'!A114="","",'Shipment Data'!A114)</f>
        <v/>
      </c>
      <c r="B114" s="15">
        <f>IF('Shipment Data'!A114="","",'Shipment Data'!C114)</f>
        <v/>
      </c>
      <c r="C114" s="15">
        <f>IF('Shipment Data'!A114="","",'Shipment Data'!D114)</f>
        <v/>
      </c>
      <c r="D114" s="15">
        <f>IF('Shipment Data'!A114="","",'Shipment Data'!J114)</f>
        <v/>
      </c>
      <c r="E114" s="16">
        <f>IF('Shipment Data'!A114="","",'Shipment Data'!F114)</f>
        <v/>
      </c>
      <c r="F114" s="17">
        <f>IF('Shipment Data'!A114="","",('Shipment Data'!G114*'Shipment Data'!H114*'Shipment Data'!I114)/5000)</f>
        <v/>
      </c>
      <c r="G114" s="17">
        <f>IF('Shipment Data'!A114="","",CEILING(MAX(E114,F114),0.5))</f>
        <v/>
      </c>
      <c r="H114" s="16">
        <f>IF('Shipment Data'!A114="","",'Shipment Data'!K114)</f>
        <v/>
      </c>
      <c r="I114" s="6">
        <f>IF('Shipment Data'!A114="","",IF(H114&gt;G114,"COURIER OVER-ROUNDED WEIGHT","OK"))</f>
        <v/>
      </c>
      <c r="J114" s="18">
        <f>IF('Shipment Data'!A114="","",INDEX('Rate Card'!$D$4:$D$8,MATCH(B114,'Rate Card'!$A$4:$A$8,0)))</f>
        <v/>
      </c>
      <c r="K114" s="18">
        <f>IF('Shipment Data'!A114="","",ROUND((G114-INDEX('Rate Card'!$C$4:$C$8,MATCH(B114,'Rate Card'!$A$4:$A$8,0)))/0.5,0)*INDEX('Rate Card'!$E$4:$E$8,MATCH(B114,'Rate Card'!$A$4:$A$8,0)))</f>
        <v/>
      </c>
      <c r="L114" s="18">
        <f>IF('Shipment Data'!A114="","",IF(C114="COD",MAX('Shipment Data'!E114*INDEX('Rate Card'!$F$4:$F$8,MATCH(B114,'Rate Card'!$A$4:$A$8,0)),INDEX('Rate Card'!$G$4:$G$8,MATCH(B114,'Rate Card'!$A$4:$A$8,0))),0))</f>
        <v/>
      </c>
      <c r="M114" s="18">
        <f>IF('Shipment Data'!A114="","",IF(D114="RTO",(J114+K114)*INDEX('Rate Card'!$H$4:$H$8,MATCH(B114,'Rate Card'!$A$4:$A$8,0)),0))</f>
        <v/>
      </c>
      <c r="N114" s="19">
        <f>IF('Shipment Data'!A114="","",J114+K114+L114+M114)</f>
        <v/>
      </c>
      <c r="O114" s="18">
        <f>IF('Shipment Data'!A114="","",'Shipment Data'!L114)</f>
        <v/>
      </c>
      <c r="P114" s="19">
        <f>IF('Shipment Data'!A114="","",O114-N114)</f>
        <v/>
      </c>
      <c r="Q114" s="6">
        <f>IF('Shipment Data'!A114="","",IF(P114&gt;1,"OVERCHARGED",IF(P114&lt;-1,"UNDERBILLED","MATCH")))</f>
        <v/>
      </c>
    </row>
    <row r="115">
      <c r="A115" s="15">
        <f>IF('Shipment Data'!A115="","",'Shipment Data'!A115)</f>
        <v/>
      </c>
      <c r="B115" s="15">
        <f>IF('Shipment Data'!A115="","",'Shipment Data'!C115)</f>
        <v/>
      </c>
      <c r="C115" s="15">
        <f>IF('Shipment Data'!A115="","",'Shipment Data'!D115)</f>
        <v/>
      </c>
      <c r="D115" s="15">
        <f>IF('Shipment Data'!A115="","",'Shipment Data'!J115)</f>
        <v/>
      </c>
      <c r="E115" s="16">
        <f>IF('Shipment Data'!A115="","",'Shipment Data'!F115)</f>
        <v/>
      </c>
      <c r="F115" s="17">
        <f>IF('Shipment Data'!A115="","",('Shipment Data'!G115*'Shipment Data'!H115*'Shipment Data'!I115)/5000)</f>
        <v/>
      </c>
      <c r="G115" s="17">
        <f>IF('Shipment Data'!A115="","",CEILING(MAX(E115,F115),0.5))</f>
        <v/>
      </c>
      <c r="H115" s="16">
        <f>IF('Shipment Data'!A115="","",'Shipment Data'!K115)</f>
        <v/>
      </c>
      <c r="I115" s="6">
        <f>IF('Shipment Data'!A115="","",IF(H115&gt;G115,"COURIER OVER-ROUNDED WEIGHT","OK"))</f>
        <v/>
      </c>
      <c r="J115" s="18">
        <f>IF('Shipment Data'!A115="","",INDEX('Rate Card'!$D$4:$D$8,MATCH(B115,'Rate Card'!$A$4:$A$8,0)))</f>
        <v/>
      </c>
      <c r="K115" s="18">
        <f>IF('Shipment Data'!A115="","",ROUND((G115-INDEX('Rate Card'!$C$4:$C$8,MATCH(B115,'Rate Card'!$A$4:$A$8,0)))/0.5,0)*INDEX('Rate Card'!$E$4:$E$8,MATCH(B115,'Rate Card'!$A$4:$A$8,0)))</f>
        <v/>
      </c>
      <c r="L115" s="18">
        <f>IF('Shipment Data'!A115="","",IF(C115="COD",MAX('Shipment Data'!E115*INDEX('Rate Card'!$F$4:$F$8,MATCH(B115,'Rate Card'!$A$4:$A$8,0)),INDEX('Rate Card'!$G$4:$G$8,MATCH(B115,'Rate Card'!$A$4:$A$8,0))),0))</f>
        <v/>
      </c>
      <c r="M115" s="18">
        <f>IF('Shipment Data'!A115="","",IF(D115="RTO",(J115+K115)*INDEX('Rate Card'!$H$4:$H$8,MATCH(B115,'Rate Card'!$A$4:$A$8,0)),0))</f>
        <v/>
      </c>
      <c r="N115" s="19">
        <f>IF('Shipment Data'!A115="","",J115+K115+L115+M115)</f>
        <v/>
      </c>
      <c r="O115" s="18">
        <f>IF('Shipment Data'!A115="","",'Shipment Data'!L115)</f>
        <v/>
      </c>
      <c r="P115" s="19">
        <f>IF('Shipment Data'!A115="","",O115-N115)</f>
        <v/>
      </c>
      <c r="Q115" s="6">
        <f>IF('Shipment Data'!A115="","",IF(P115&gt;1,"OVERCHARGED",IF(P115&lt;-1,"UNDERBILLED","MATCH")))</f>
        <v/>
      </c>
    </row>
    <row r="116">
      <c r="A116" s="15">
        <f>IF('Shipment Data'!A116="","",'Shipment Data'!A116)</f>
        <v/>
      </c>
      <c r="B116" s="15">
        <f>IF('Shipment Data'!A116="","",'Shipment Data'!C116)</f>
        <v/>
      </c>
      <c r="C116" s="15">
        <f>IF('Shipment Data'!A116="","",'Shipment Data'!D116)</f>
        <v/>
      </c>
      <c r="D116" s="15">
        <f>IF('Shipment Data'!A116="","",'Shipment Data'!J116)</f>
        <v/>
      </c>
      <c r="E116" s="16">
        <f>IF('Shipment Data'!A116="","",'Shipment Data'!F116)</f>
        <v/>
      </c>
      <c r="F116" s="17">
        <f>IF('Shipment Data'!A116="","",('Shipment Data'!G116*'Shipment Data'!H116*'Shipment Data'!I116)/5000)</f>
        <v/>
      </c>
      <c r="G116" s="17">
        <f>IF('Shipment Data'!A116="","",CEILING(MAX(E116,F116),0.5))</f>
        <v/>
      </c>
      <c r="H116" s="16">
        <f>IF('Shipment Data'!A116="","",'Shipment Data'!K116)</f>
        <v/>
      </c>
      <c r="I116" s="6">
        <f>IF('Shipment Data'!A116="","",IF(H116&gt;G116,"COURIER OVER-ROUNDED WEIGHT","OK"))</f>
        <v/>
      </c>
      <c r="J116" s="18">
        <f>IF('Shipment Data'!A116="","",INDEX('Rate Card'!$D$4:$D$8,MATCH(B116,'Rate Card'!$A$4:$A$8,0)))</f>
        <v/>
      </c>
      <c r="K116" s="18">
        <f>IF('Shipment Data'!A116="","",ROUND((G116-INDEX('Rate Card'!$C$4:$C$8,MATCH(B116,'Rate Card'!$A$4:$A$8,0)))/0.5,0)*INDEX('Rate Card'!$E$4:$E$8,MATCH(B116,'Rate Card'!$A$4:$A$8,0)))</f>
        <v/>
      </c>
      <c r="L116" s="18">
        <f>IF('Shipment Data'!A116="","",IF(C116="COD",MAX('Shipment Data'!E116*INDEX('Rate Card'!$F$4:$F$8,MATCH(B116,'Rate Card'!$A$4:$A$8,0)),INDEX('Rate Card'!$G$4:$G$8,MATCH(B116,'Rate Card'!$A$4:$A$8,0))),0))</f>
        <v/>
      </c>
      <c r="M116" s="18">
        <f>IF('Shipment Data'!A116="","",IF(D116="RTO",(J116+K116)*INDEX('Rate Card'!$H$4:$H$8,MATCH(B116,'Rate Card'!$A$4:$A$8,0)),0))</f>
        <v/>
      </c>
      <c r="N116" s="19">
        <f>IF('Shipment Data'!A116="","",J116+K116+L116+M116)</f>
        <v/>
      </c>
      <c r="O116" s="18">
        <f>IF('Shipment Data'!A116="","",'Shipment Data'!L116)</f>
        <v/>
      </c>
      <c r="P116" s="19">
        <f>IF('Shipment Data'!A116="","",O116-N116)</f>
        <v/>
      </c>
      <c r="Q116" s="6">
        <f>IF('Shipment Data'!A116="","",IF(P116&gt;1,"OVERCHARGED",IF(P116&lt;-1,"UNDERBILLED","MATCH")))</f>
        <v/>
      </c>
    </row>
    <row r="117">
      <c r="A117" s="15">
        <f>IF('Shipment Data'!A117="","",'Shipment Data'!A117)</f>
        <v/>
      </c>
      <c r="B117" s="15">
        <f>IF('Shipment Data'!A117="","",'Shipment Data'!C117)</f>
        <v/>
      </c>
      <c r="C117" s="15">
        <f>IF('Shipment Data'!A117="","",'Shipment Data'!D117)</f>
        <v/>
      </c>
      <c r="D117" s="15">
        <f>IF('Shipment Data'!A117="","",'Shipment Data'!J117)</f>
        <v/>
      </c>
      <c r="E117" s="16">
        <f>IF('Shipment Data'!A117="","",'Shipment Data'!F117)</f>
        <v/>
      </c>
      <c r="F117" s="17">
        <f>IF('Shipment Data'!A117="","",('Shipment Data'!G117*'Shipment Data'!H117*'Shipment Data'!I117)/5000)</f>
        <v/>
      </c>
      <c r="G117" s="17">
        <f>IF('Shipment Data'!A117="","",CEILING(MAX(E117,F117),0.5))</f>
        <v/>
      </c>
      <c r="H117" s="16">
        <f>IF('Shipment Data'!A117="","",'Shipment Data'!K117)</f>
        <v/>
      </c>
      <c r="I117" s="6">
        <f>IF('Shipment Data'!A117="","",IF(H117&gt;G117,"COURIER OVER-ROUNDED WEIGHT","OK"))</f>
        <v/>
      </c>
      <c r="J117" s="18">
        <f>IF('Shipment Data'!A117="","",INDEX('Rate Card'!$D$4:$D$8,MATCH(B117,'Rate Card'!$A$4:$A$8,0)))</f>
        <v/>
      </c>
      <c r="K117" s="18">
        <f>IF('Shipment Data'!A117="","",ROUND((G117-INDEX('Rate Card'!$C$4:$C$8,MATCH(B117,'Rate Card'!$A$4:$A$8,0)))/0.5,0)*INDEX('Rate Card'!$E$4:$E$8,MATCH(B117,'Rate Card'!$A$4:$A$8,0)))</f>
        <v/>
      </c>
      <c r="L117" s="18">
        <f>IF('Shipment Data'!A117="","",IF(C117="COD",MAX('Shipment Data'!E117*INDEX('Rate Card'!$F$4:$F$8,MATCH(B117,'Rate Card'!$A$4:$A$8,0)),INDEX('Rate Card'!$G$4:$G$8,MATCH(B117,'Rate Card'!$A$4:$A$8,0))),0))</f>
        <v/>
      </c>
      <c r="M117" s="18">
        <f>IF('Shipment Data'!A117="","",IF(D117="RTO",(J117+K117)*INDEX('Rate Card'!$H$4:$H$8,MATCH(B117,'Rate Card'!$A$4:$A$8,0)),0))</f>
        <v/>
      </c>
      <c r="N117" s="19">
        <f>IF('Shipment Data'!A117="","",J117+K117+L117+M117)</f>
        <v/>
      </c>
      <c r="O117" s="18">
        <f>IF('Shipment Data'!A117="","",'Shipment Data'!L117)</f>
        <v/>
      </c>
      <c r="P117" s="19">
        <f>IF('Shipment Data'!A117="","",O117-N117)</f>
        <v/>
      </c>
      <c r="Q117" s="6">
        <f>IF('Shipment Data'!A117="","",IF(P117&gt;1,"OVERCHARGED",IF(P117&lt;-1,"UNDERBILLED","MATCH")))</f>
        <v/>
      </c>
    </row>
    <row r="118">
      <c r="A118" s="15">
        <f>IF('Shipment Data'!A118="","",'Shipment Data'!A118)</f>
        <v/>
      </c>
      <c r="B118" s="15">
        <f>IF('Shipment Data'!A118="","",'Shipment Data'!C118)</f>
        <v/>
      </c>
      <c r="C118" s="15">
        <f>IF('Shipment Data'!A118="","",'Shipment Data'!D118)</f>
        <v/>
      </c>
      <c r="D118" s="15">
        <f>IF('Shipment Data'!A118="","",'Shipment Data'!J118)</f>
        <v/>
      </c>
      <c r="E118" s="16">
        <f>IF('Shipment Data'!A118="","",'Shipment Data'!F118)</f>
        <v/>
      </c>
      <c r="F118" s="17">
        <f>IF('Shipment Data'!A118="","",('Shipment Data'!G118*'Shipment Data'!H118*'Shipment Data'!I118)/5000)</f>
        <v/>
      </c>
      <c r="G118" s="17">
        <f>IF('Shipment Data'!A118="","",CEILING(MAX(E118,F118),0.5))</f>
        <v/>
      </c>
      <c r="H118" s="16">
        <f>IF('Shipment Data'!A118="","",'Shipment Data'!K118)</f>
        <v/>
      </c>
      <c r="I118" s="6">
        <f>IF('Shipment Data'!A118="","",IF(H118&gt;G118,"COURIER OVER-ROUNDED WEIGHT","OK"))</f>
        <v/>
      </c>
      <c r="J118" s="18">
        <f>IF('Shipment Data'!A118="","",INDEX('Rate Card'!$D$4:$D$8,MATCH(B118,'Rate Card'!$A$4:$A$8,0)))</f>
        <v/>
      </c>
      <c r="K118" s="18">
        <f>IF('Shipment Data'!A118="","",ROUND((G118-INDEX('Rate Card'!$C$4:$C$8,MATCH(B118,'Rate Card'!$A$4:$A$8,0)))/0.5,0)*INDEX('Rate Card'!$E$4:$E$8,MATCH(B118,'Rate Card'!$A$4:$A$8,0)))</f>
        <v/>
      </c>
      <c r="L118" s="18">
        <f>IF('Shipment Data'!A118="","",IF(C118="COD",MAX('Shipment Data'!E118*INDEX('Rate Card'!$F$4:$F$8,MATCH(B118,'Rate Card'!$A$4:$A$8,0)),INDEX('Rate Card'!$G$4:$G$8,MATCH(B118,'Rate Card'!$A$4:$A$8,0))),0))</f>
        <v/>
      </c>
      <c r="M118" s="18">
        <f>IF('Shipment Data'!A118="","",IF(D118="RTO",(J118+K118)*INDEX('Rate Card'!$H$4:$H$8,MATCH(B118,'Rate Card'!$A$4:$A$8,0)),0))</f>
        <v/>
      </c>
      <c r="N118" s="19">
        <f>IF('Shipment Data'!A118="","",J118+K118+L118+M118)</f>
        <v/>
      </c>
      <c r="O118" s="18">
        <f>IF('Shipment Data'!A118="","",'Shipment Data'!L118)</f>
        <v/>
      </c>
      <c r="P118" s="19">
        <f>IF('Shipment Data'!A118="","",O118-N118)</f>
        <v/>
      </c>
      <c r="Q118" s="6">
        <f>IF('Shipment Data'!A118="","",IF(P118&gt;1,"OVERCHARGED",IF(P118&lt;-1,"UNDERBILLED","MATCH")))</f>
        <v/>
      </c>
    </row>
    <row r="119">
      <c r="A119" s="15">
        <f>IF('Shipment Data'!A119="","",'Shipment Data'!A119)</f>
        <v/>
      </c>
      <c r="B119" s="15">
        <f>IF('Shipment Data'!A119="","",'Shipment Data'!C119)</f>
        <v/>
      </c>
      <c r="C119" s="15">
        <f>IF('Shipment Data'!A119="","",'Shipment Data'!D119)</f>
        <v/>
      </c>
      <c r="D119" s="15">
        <f>IF('Shipment Data'!A119="","",'Shipment Data'!J119)</f>
        <v/>
      </c>
      <c r="E119" s="16">
        <f>IF('Shipment Data'!A119="","",'Shipment Data'!F119)</f>
        <v/>
      </c>
      <c r="F119" s="17">
        <f>IF('Shipment Data'!A119="","",('Shipment Data'!G119*'Shipment Data'!H119*'Shipment Data'!I119)/5000)</f>
        <v/>
      </c>
      <c r="G119" s="17">
        <f>IF('Shipment Data'!A119="","",CEILING(MAX(E119,F119),0.5))</f>
        <v/>
      </c>
      <c r="H119" s="16">
        <f>IF('Shipment Data'!A119="","",'Shipment Data'!K119)</f>
        <v/>
      </c>
      <c r="I119" s="6">
        <f>IF('Shipment Data'!A119="","",IF(H119&gt;G119,"COURIER OVER-ROUNDED WEIGHT","OK"))</f>
        <v/>
      </c>
      <c r="J119" s="18">
        <f>IF('Shipment Data'!A119="","",INDEX('Rate Card'!$D$4:$D$8,MATCH(B119,'Rate Card'!$A$4:$A$8,0)))</f>
        <v/>
      </c>
      <c r="K119" s="18">
        <f>IF('Shipment Data'!A119="","",ROUND((G119-INDEX('Rate Card'!$C$4:$C$8,MATCH(B119,'Rate Card'!$A$4:$A$8,0)))/0.5,0)*INDEX('Rate Card'!$E$4:$E$8,MATCH(B119,'Rate Card'!$A$4:$A$8,0)))</f>
        <v/>
      </c>
      <c r="L119" s="18">
        <f>IF('Shipment Data'!A119="","",IF(C119="COD",MAX('Shipment Data'!E119*INDEX('Rate Card'!$F$4:$F$8,MATCH(B119,'Rate Card'!$A$4:$A$8,0)),INDEX('Rate Card'!$G$4:$G$8,MATCH(B119,'Rate Card'!$A$4:$A$8,0))),0))</f>
        <v/>
      </c>
      <c r="M119" s="18">
        <f>IF('Shipment Data'!A119="","",IF(D119="RTO",(J119+K119)*INDEX('Rate Card'!$H$4:$H$8,MATCH(B119,'Rate Card'!$A$4:$A$8,0)),0))</f>
        <v/>
      </c>
      <c r="N119" s="19">
        <f>IF('Shipment Data'!A119="","",J119+K119+L119+M119)</f>
        <v/>
      </c>
      <c r="O119" s="18">
        <f>IF('Shipment Data'!A119="","",'Shipment Data'!L119)</f>
        <v/>
      </c>
      <c r="P119" s="19">
        <f>IF('Shipment Data'!A119="","",O119-N119)</f>
        <v/>
      </c>
      <c r="Q119" s="6">
        <f>IF('Shipment Data'!A119="","",IF(P119&gt;1,"OVERCHARGED",IF(P119&lt;-1,"UNDERBILLED","MATCH")))</f>
        <v/>
      </c>
    </row>
    <row r="120">
      <c r="A120" s="15">
        <f>IF('Shipment Data'!A120="","",'Shipment Data'!A120)</f>
        <v/>
      </c>
      <c r="B120" s="15">
        <f>IF('Shipment Data'!A120="","",'Shipment Data'!C120)</f>
        <v/>
      </c>
      <c r="C120" s="15">
        <f>IF('Shipment Data'!A120="","",'Shipment Data'!D120)</f>
        <v/>
      </c>
      <c r="D120" s="15">
        <f>IF('Shipment Data'!A120="","",'Shipment Data'!J120)</f>
        <v/>
      </c>
      <c r="E120" s="16">
        <f>IF('Shipment Data'!A120="","",'Shipment Data'!F120)</f>
        <v/>
      </c>
      <c r="F120" s="17">
        <f>IF('Shipment Data'!A120="","",('Shipment Data'!G120*'Shipment Data'!H120*'Shipment Data'!I120)/5000)</f>
        <v/>
      </c>
      <c r="G120" s="17">
        <f>IF('Shipment Data'!A120="","",CEILING(MAX(E120,F120),0.5))</f>
        <v/>
      </c>
      <c r="H120" s="16">
        <f>IF('Shipment Data'!A120="","",'Shipment Data'!K120)</f>
        <v/>
      </c>
      <c r="I120" s="6">
        <f>IF('Shipment Data'!A120="","",IF(H120&gt;G120,"COURIER OVER-ROUNDED WEIGHT","OK"))</f>
        <v/>
      </c>
      <c r="J120" s="18">
        <f>IF('Shipment Data'!A120="","",INDEX('Rate Card'!$D$4:$D$8,MATCH(B120,'Rate Card'!$A$4:$A$8,0)))</f>
        <v/>
      </c>
      <c r="K120" s="18">
        <f>IF('Shipment Data'!A120="","",ROUND((G120-INDEX('Rate Card'!$C$4:$C$8,MATCH(B120,'Rate Card'!$A$4:$A$8,0)))/0.5,0)*INDEX('Rate Card'!$E$4:$E$8,MATCH(B120,'Rate Card'!$A$4:$A$8,0)))</f>
        <v/>
      </c>
      <c r="L120" s="18">
        <f>IF('Shipment Data'!A120="","",IF(C120="COD",MAX('Shipment Data'!E120*INDEX('Rate Card'!$F$4:$F$8,MATCH(B120,'Rate Card'!$A$4:$A$8,0)),INDEX('Rate Card'!$G$4:$G$8,MATCH(B120,'Rate Card'!$A$4:$A$8,0))),0))</f>
        <v/>
      </c>
      <c r="M120" s="18">
        <f>IF('Shipment Data'!A120="","",IF(D120="RTO",(J120+K120)*INDEX('Rate Card'!$H$4:$H$8,MATCH(B120,'Rate Card'!$A$4:$A$8,0)),0))</f>
        <v/>
      </c>
      <c r="N120" s="19">
        <f>IF('Shipment Data'!A120="","",J120+K120+L120+M120)</f>
        <v/>
      </c>
      <c r="O120" s="18">
        <f>IF('Shipment Data'!A120="","",'Shipment Data'!L120)</f>
        <v/>
      </c>
      <c r="P120" s="19">
        <f>IF('Shipment Data'!A120="","",O120-N120)</f>
        <v/>
      </c>
      <c r="Q120" s="6">
        <f>IF('Shipment Data'!A120="","",IF(P120&gt;1,"OVERCHARGED",IF(P120&lt;-1,"UNDERBILLED","MATCH")))</f>
        <v/>
      </c>
    </row>
    <row r="121">
      <c r="A121" s="15">
        <f>IF('Shipment Data'!A121="","",'Shipment Data'!A121)</f>
        <v/>
      </c>
      <c r="B121" s="15">
        <f>IF('Shipment Data'!A121="","",'Shipment Data'!C121)</f>
        <v/>
      </c>
      <c r="C121" s="15">
        <f>IF('Shipment Data'!A121="","",'Shipment Data'!D121)</f>
        <v/>
      </c>
      <c r="D121" s="15">
        <f>IF('Shipment Data'!A121="","",'Shipment Data'!J121)</f>
        <v/>
      </c>
      <c r="E121" s="16">
        <f>IF('Shipment Data'!A121="","",'Shipment Data'!F121)</f>
        <v/>
      </c>
      <c r="F121" s="17">
        <f>IF('Shipment Data'!A121="","",('Shipment Data'!G121*'Shipment Data'!H121*'Shipment Data'!I121)/5000)</f>
        <v/>
      </c>
      <c r="G121" s="17">
        <f>IF('Shipment Data'!A121="","",CEILING(MAX(E121,F121),0.5))</f>
        <v/>
      </c>
      <c r="H121" s="16">
        <f>IF('Shipment Data'!A121="","",'Shipment Data'!K121)</f>
        <v/>
      </c>
      <c r="I121" s="6">
        <f>IF('Shipment Data'!A121="","",IF(H121&gt;G121,"COURIER OVER-ROUNDED WEIGHT","OK"))</f>
        <v/>
      </c>
      <c r="J121" s="18">
        <f>IF('Shipment Data'!A121="","",INDEX('Rate Card'!$D$4:$D$8,MATCH(B121,'Rate Card'!$A$4:$A$8,0)))</f>
        <v/>
      </c>
      <c r="K121" s="18">
        <f>IF('Shipment Data'!A121="","",ROUND((G121-INDEX('Rate Card'!$C$4:$C$8,MATCH(B121,'Rate Card'!$A$4:$A$8,0)))/0.5,0)*INDEX('Rate Card'!$E$4:$E$8,MATCH(B121,'Rate Card'!$A$4:$A$8,0)))</f>
        <v/>
      </c>
      <c r="L121" s="18">
        <f>IF('Shipment Data'!A121="","",IF(C121="COD",MAX('Shipment Data'!E121*INDEX('Rate Card'!$F$4:$F$8,MATCH(B121,'Rate Card'!$A$4:$A$8,0)),INDEX('Rate Card'!$G$4:$G$8,MATCH(B121,'Rate Card'!$A$4:$A$8,0))),0))</f>
        <v/>
      </c>
      <c r="M121" s="18">
        <f>IF('Shipment Data'!A121="","",IF(D121="RTO",(J121+K121)*INDEX('Rate Card'!$H$4:$H$8,MATCH(B121,'Rate Card'!$A$4:$A$8,0)),0))</f>
        <v/>
      </c>
      <c r="N121" s="19">
        <f>IF('Shipment Data'!A121="","",J121+K121+L121+M121)</f>
        <v/>
      </c>
      <c r="O121" s="18">
        <f>IF('Shipment Data'!A121="","",'Shipment Data'!L121)</f>
        <v/>
      </c>
      <c r="P121" s="19">
        <f>IF('Shipment Data'!A121="","",O121-N121)</f>
        <v/>
      </c>
      <c r="Q121" s="6">
        <f>IF('Shipment Data'!A121="","",IF(P121&gt;1,"OVERCHARGED",IF(P121&lt;-1,"UNDERBILLED","MATCH")))</f>
        <v/>
      </c>
    </row>
    <row r="122">
      <c r="A122" s="15">
        <f>IF('Shipment Data'!A122="","",'Shipment Data'!A122)</f>
        <v/>
      </c>
      <c r="B122" s="15">
        <f>IF('Shipment Data'!A122="","",'Shipment Data'!C122)</f>
        <v/>
      </c>
      <c r="C122" s="15">
        <f>IF('Shipment Data'!A122="","",'Shipment Data'!D122)</f>
        <v/>
      </c>
      <c r="D122" s="15">
        <f>IF('Shipment Data'!A122="","",'Shipment Data'!J122)</f>
        <v/>
      </c>
      <c r="E122" s="16">
        <f>IF('Shipment Data'!A122="","",'Shipment Data'!F122)</f>
        <v/>
      </c>
      <c r="F122" s="17">
        <f>IF('Shipment Data'!A122="","",('Shipment Data'!G122*'Shipment Data'!H122*'Shipment Data'!I122)/5000)</f>
        <v/>
      </c>
      <c r="G122" s="17">
        <f>IF('Shipment Data'!A122="","",CEILING(MAX(E122,F122),0.5))</f>
        <v/>
      </c>
      <c r="H122" s="16">
        <f>IF('Shipment Data'!A122="","",'Shipment Data'!K122)</f>
        <v/>
      </c>
      <c r="I122" s="6">
        <f>IF('Shipment Data'!A122="","",IF(H122&gt;G122,"COURIER OVER-ROUNDED WEIGHT","OK"))</f>
        <v/>
      </c>
      <c r="J122" s="18">
        <f>IF('Shipment Data'!A122="","",INDEX('Rate Card'!$D$4:$D$8,MATCH(B122,'Rate Card'!$A$4:$A$8,0)))</f>
        <v/>
      </c>
      <c r="K122" s="18">
        <f>IF('Shipment Data'!A122="","",ROUND((G122-INDEX('Rate Card'!$C$4:$C$8,MATCH(B122,'Rate Card'!$A$4:$A$8,0)))/0.5,0)*INDEX('Rate Card'!$E$4:$E$8,MATCH(B122,'Rate Card'!$A$4:$A$8,0)))</f>
        <v/>
      </c>
      <c r="L122" s="18">
        <f>IF('Shipment Data'!A122="","",IF(C122="COD",MAX('Shipment Data'!E122*INDEX('Rate Card'!$F$4:$F$8,MATCH(B122,'Rate Card'!$A$4:$A$8,0)),INDEX('Rate Card'!$G$4:$G$8,MATCH(B122,'Rate Card'!$A$4:$A$8,0))),0))</f>
        <v/>
      </c>
      <c r="M122" s="18">
        <f>IF('Shipment Data'!A122="","",IF(D122="RTO",(J122+K122)*INDEX('Rate Card'!$H$4:$H$8,MATCH(B122,'Rate Card'!$A$4:$A$8,0)),0))</f>
        <v/>
      </c>
      <c r="N122" s="19">
        <f>IF('Shipment Data'!A122="","",J122+K122+L122+M122)</f>
        <v/>
      </c>
      <c r="O122" s="18">
        <f>IF('Shipment Data'!A122="","",'Shipment Data'!L122)</f>
        <v/>
      </c>
      <c r="P122" s="19">
        <f>IF('Shipment Data'!A122="","",O122-N122)</f>
        <v/>
      </c>
      <c r="Q122" s="6">
        <f>IF('Shipment Data'!A122="","",IF(P122&gt;1,"OVERCHARGED",IF(P122&lt;-1,"UNDERBILLED","MATCH")))</f>
        <v/>
      </c>
    </row>
    <row r="123">
      <c r="A123" s="15">
        <f>IF('Shipment Data'!A123="","",'Shipment Data'!A123)</f>
        <v/>
      </c>
      <c r="B123" s="15">
        <f>IF('Shipment Data'!A123="","",'Shipment Data'!C123)</f>
        <v/>
      </c>
      <c r="C123" s="15">
        <f>IF('Shipment Data'!A123="","",'Shipment Data'!D123)</f>
        <v/>
      </c>
      <c r="D123" s="15">
        <f>IF('Shipment Data'!A123="","",'Shipment Data'!J123)</f>
        <v/>
      </c>
      <c r="E123" s="16">
        <f>IF('Shipment Data'!A123="","",'Shipment Data'!F123)</f>
        <v/>
      </c>
      <c r="F123" s="17">
        <f>IF('Shipment Data'!A123="","",('Shipment Data'!G123*'Shipment Data'!H123*'Shipment Data'!I123)/5000)</f>
        <v/>
      </c>
      <c r="G123" s="17">
        <f>IF('Shipment Data'!A123="","",CEILING(MAX(E123,F123),0.5))</f>
        <v/>
      </c>
      <c r="H123" s="16">
        <f>IF('Shipment Data'!A123="","",'Shipment Data'!K123)</f>
        <v/>
      </c>
      <c r="I123" s="6">
        <f>IF('Shipment Data'!A123="","",IF(H123&gt;G123,"COURIER OVER-ROUNDED WEIGHT","OK"))</f>
        <v/>
      </c>
      <c r="J123" s="18">
        <f>IF('Shipment Data'!A123="","",INDEX('Rate Card'!$D$4:$D$8,MATCH(B123,'Rate Card'!$A$4:$A$8,0)))</f>
        <v/>
      </c>
      <c r="K123" s="18">
        <f>IF('Shipment Data'!A123="","",ROUND((G123-INDEX('Rate Card'!$C$4:$C$8,MATCH(B123,'Rate Card'!$A$4:$A$8,0)))/0.5,0)*INDEX('Rate Card'!$E$4:$E$8,MATCH(B123,'Rate Card'!$A$4:$A$8,0)))</f>
        <v/>
      </c>
      <c r="L123" s="18">
        <f>IF('Shipment Data'!A123="","",IF(C123="COD",MAX('Shipment Data'!E123*INDEX('Rate Card'!$F$4:$F$8,MATCH(B123,'Rate Card'!$A$4:$A$8,0)),INDEX('Rate Card'!$G$4:$G$8,MATCH(B123,'Rate Card'!$A$4:$A$8,0))),0))</f>
        <v/>
      </c>
      <c r="M123" s="18">
        <f>IF('Shipment Data'!A123="","",IF(D123="RTO",(J123+K123)*INDEX('Rate Card'!$H$4:$H$8,MATCH(B123,'Rate Card'!$A$4:$A$8,0)),0))</f>
        <v/>
      </c>
      <c r="N123" s="19">
        <f>IF('Shipment Data'!A123="","",J123+K123+L123+M123)</f>
        <v/>
      </c>
      <c r="O123" s="18">
        <f>IF('Shipment Data'!A123="","",'Shipment Data'!L123)</f>
        <v/>
      </c>
      <c r="P123" s="19">
        <f>IF('Shipment Data'!A123="","",O123-N123)</f>
        <v/>
      </c>
      <c r="Q123" s="6">
        <f>IF('Shipment Data'!A123="","",IF(P123&gt;1,"OVERCHARGED",IF(P123&lt;-1,"UNDERBILLED","MATCH")))</f>
        <v/>
      </c>
    </row>
    <row r="124">
      <c r="A124" s="15">
        <f>IF('Shipment Data'!A124="","",'Shipment Data'!A124)</f>
        <v/>
      </c>
      <c r="B124" s="15">
        <f>IF('Shipment Data'!A124="","",'Shipment Data'!C124)</f>
        <v/>
      </c>
      <c r="C124" s="15">
        <f>IF('Shipment Data'!A124="","",'Shipment Data'!D124)</f>
        <v/>
      </c>
      <c r="D124" s="15">
        <f>IF('Shipment Data'!A124="","",'Shipment Data'!J124)</f>
        <v/>
      </c>
      <c r="E124" s="16">
        <f>IF('Shipment Data'!A124="","",'Shipment Data'!F124)</f>
        <v/>
      </c>
      <c r="F124" s="17">
        <f>IF('Shipment Data'!A124="","",('Shipment Data'!G124*'Shipment Data'!H124*'Shipment Data'!I124)/5000)</f>
        <v/>
      </c>
      <c r="G124" s="17">
        <f>IF('Shipment Data'!A124="","",CEILING(MAX(E124,F124),0.5))</f>
        <v/>
      </c>
      <c r="H124" s="16">
        <f>IF('Shipment Data'!A124="","",'Shipment Data'!K124)</f>
        <v/>
      </c>
      <c r="I124" s="6">
        <f>IF('Shipment Data'!A124="","",IF(H124&gt;G124,"COURIER OVER-ROUNDED WEIGHT","OK"))</f>
        <v/>
      </c>
      <c r="J124" s="18">
        <f>IF('Shipment Data'!A124="","",INDEX('Rate Card'!$D$4:$D$8,MATCH(B124,'Rate Card'!$A$4:$A$8,0)))</f>
        <v/>
      </c>
      <c r="K124" s="18">
        <f>IF('Shipment Data'!A124="","",ROUND((G124-INDEX('Rate Card'!$C$4:$C$8,MATCH(B124,'Rate Card'!$A$4:$A$8,0)))/0.5,0)*INDEX('Rate Card'!$E$4:$E$8,MATCH(B124,'Rate Card'!$A$4:$A$8,0)))</f>
        <v/>
      </c>
      <c r="L124" s="18">
        <f>IF('Shipment Data'!A124="","",IF(C124="COD",MAX('Shipment Data'!E124*INDEX('Rate Card'!$F$4:$F$8,MATCH(B124,'Rate Card'!$A$4:$A$8,0)),INDEX('Rate Card'!$G$4:$G$8,MATCH(B124,'Rate Card'!$A$4:$A$8,0))),0))</f>
        <v/>
      </c>
      <c r="M124" s="18">
        <f>IF('Shipment Data'!A124="","",IF(D124="RTO",(J124+K124)*INDEX('Rate Card'!$H$4:$H$8,MATCH(B124,'Rate Card'!$A$4:$A$8,0)),0))</f>
        <v/>
      </c>
      <c r="N124" s="19">
        <f>IF('Shipment Data'!A124="","",J124+K124+L124+M124)</f>
        <v/>
      </c>
      <c r="O124" s="18">
        <f>IF('Shipment Data'!A124="","",'Shipment Data'!L124)</f>
        <v/>
      </c>
      <c r="P124" s="19">
        <f>IF('Shipment Data'!A124="","",O124-N124)</f>
        <v/>
      </c>
      <c r="Q124" s="6">
        <f>IF('Shipment Data'!A124="","",IF(P124&gt;1,"OVERCHARGED",IF(P124&lt;-1,"UNDERBILLED","MATCH")))</f>
        <v/>
      </c>
    </row>
    <row r="125">
      <c r="A125" s="15">
        <f>IF('Shipment Data'!A125="","",'Shipment Data'!A125)</f>
        <v/>
      </c>
      <c r="B125" s="15">
        <f>IF('Shipment Data'!A125="","",'Shipment Data'!C125)</f>
        <v/>
      </c>
      <c r="C125" s="15">
        <f>IF('Shipment Data'!A125="","",'Shipment Data'!D125)</f>
        <v/>
      </c>
      <c r="D125" s="15">
        <f>IF('Shipment Data'!A125="","",'Shipment Data'!J125)</f>
        <v/>
      </c>
      <c r="E125" s="16">
        <f>IF('Shipment Data'!A125="","",'Shipment Data'!F125)</f>
        <v/>
      </c>
      <c r="F125" s="17">
        <f>IF('Shipment Data'!A125="","",('Shipment Data'!G125*'Shipment Data'!H125*'Shipment Data'!I125)/5000)</f>
        <v/>
      </c>
      <c r="G125" s="17">
        <f>IF('Shipment Data'!A125="","",CEILING(MAX(E125,F125),0.5))</f>
        <v/>
      </c>
      <c r="H125" s="16">
        <f>IF('Shipment Data'!A125="","",'Shipment Data'!K125)</f>
        <v/>
      </c>
      <c r="I125" s="6">
        <f>IF('Shipment Data'!A125="","",IF(H125&gt;G125,"COURIER OVER-ROUNDED WEIGHT","OK"))</f>
        <v/>
      </c>
      <c r="J125" s="18">
        <f>IF('Shipment Data'!A125="","",INDEX('Rate Card'!$D$4:$D$8,MATCH(B125,'Rate Card'!$A$4:$A$8,0)))</f>
        <v/>
      </c>
      <c r="K125" s="18">
        <f>IF('Shipment Data'!A125="","",ROUND((G125-INDEX('Rate Card'!$C$4:$C$8,MATCH(B125,'Rate Card'!$A$4:$A$8,0)))/0.5,0)*INDEX('Rate Card'!$E$4:$E$8,MATCH(B125,'Rate Card'!$A$4:$A$8,0)))</f>
        <v/>
      </c>
      <c r="L125" s="18">
        <f>IF('Shipment Data'!A125="","",IF(C125="COD",MAX('Shipment Data'!E125*INDEX('Rate Card'!$F$4:$F$8,MATCH(B125,'Rate Card'!$A$4:$A$8,0)),INDEX('Rate Card'!$G$4:$G$8,MATCH(B125,'Rate Card'!$A$4:$A$8,0))),0))</f>
        <v/>
      </c>
      <c r="M125" s="18">
        <f>IF('Shipment Data'!A125="","",IF(D125="RTO",(J125+K125)*INDEX('Rate Card'!$H$4:$H$8,MATCH(B125,'Rate Card'!$A$4:$A$8,0)),0))</f>
        <v/>
      </c>
      <c r="N125" s="19">
        <f>IF('Shipment Data'!A125="","",J125+K125+L125+M125)</f>
        <v/>
      </c>
      <c r="O125" s="18">
        <f>IF('Shipment Data'!A125="","",'Shipment Data'!L125)</f>
        <v/>
      </c>
      <c r="P125" s="19">
        <f>IF('Shipment Data'!A125="","",O125-N125)</f>
        <v/>
      </c>
      <c r="Q125" s="6">
        <f>IF('Shipment Data'!A125="","",IF(P125&gt;1,"OVERCHARGED",IF(P125&lt;-1,"UNDERBILLED","MATCH")))</f>
        <v/>
      </c>
    </row>
    <row r="126">
      <c r="A126" s="15">
        <f>IF('Shipment Data'!A126="","",'Shipment Data'!A126)</f>
        <v/>
      </c>
      <c r="B126" s="15">
        <f>IF('Shipment Data'!A126="","",'Shipment Data'!C126)</f>
        <v/>
      </c>
      <c r="C126" s="15">
        <f>IF('Shipment Data'!A126="","",'Shipment Data'!D126)</f>
        <v/>
      </c>
      <c r="D126" s="15">
        <f>IF('Shipment Data'!A126="","",'Shipment Data'!J126)</f>
        <v/>
      </c>
      <c r="E126" s="16">
        <f>IF('Shipment Data'!A126="","",'Shipment Data'!F126)</f>
        <v/>
      </c>
      <c r="F126" s="17">
        <f>IF('Shipment Data'!A126="","",('Shipment Data'!G126*'Shipment Data'!H126*'Shipment Data'!I126)/5000)</f>
        <v/>
      </c>
      <c r="G126" s="17">
        <f>IF('Shipment Data'!A126="","",CEILING(MAX(E126,F126),0.5))</f>
        <v/>
      </c>
      <c r="H126" s="16">
        <f>IF('Shipment Data'!A126="","",'Shipment Data'!K126)</f>
        <v/>
      </c>
      <c r="I126" s="6">
        <f>IF('Shipment Data'!A126="","",IF(H126&gt;G126,"COURIER OVER-ROUNDED WEIGHT","OK"))</f>
        <v/>
      </c>
      <c r="J126" s="18">
        <f>IF('Shipment Data'!A126="","",INDEX('Rate Card'!$D$4:$D$8,MATCH(B126,'Rate Card'!$A$4:$A$8,0)))</f>
        <v/>
      </c>
      <c r="K126" s="18">
        <f>IF('Shipment Data'!A126="","",ROUND((G126-INDEX('Rate Card'!$C$4:$C$8,MATCH(B126,'Rate Card'!$A$4:$A$8,0)))/0.5,0)*INDEX('Rate Card'!$E$4:$E$8,MATCH(B126,'Rate Card'!$A$4:$A$8,0)))</f>
        <v/>
      </c>
      <c r="L126" s="18">
        <f>IF('Shipment Data'!A126="","",IF(C126="COD",MAX('Shipment Data'!E126*INDEX('Rate Card'!$F$4:$F$8,MATCH(B126,'Rate Card'!$A$4:$A$8,0)),INDEX('Rate Card'!$G$4:$G$8,MATCH(B126,'Rate Card'!$A$4:$A$8,0))),0))</f>
        <v/>
      </c>
      <c r="M126" s="18">
        <f>IF('Shipment Data'!A126="","",IF(D126="RTO",(J126+K126)*INDEX('Rate Card'!$H$4:$H$8,MATCH(B126,'Rate Card'!$A$4:$A$8,0)),0))</f>
        <v/>
      </c>
      <c r="N126" s="19">
        <f>IF('Shipment Data'!A126="","",J126+K126+L126+M126)</f>
        <v/>
      </c>
      <c r="O126" s="18">
        <f>IF('Shipment Data'!A126="","",'Shipment Data'!L126)</f>
        <v/>
      </c>
      <c r="P126" s="19">
        <f>IF('Shipment Data'!A126="","",O126-N126)</f>
        <v/>
      </c>
      <c r="Q126" s="6">
        <f>IF('Shipment Data'!A126="","",IF(P126&gt;1,"OVERCHARGED",IF(P126&lt;-1,"UNDERBILLED","MATCH")))</f>
        <v/>
      </c>
    </row>
    <row r="127">
      <c r="A127" s="15">
        <f>IF('Shipment Data'!A127="","",'Shipment Data'!A127)</f>
        <v/>
      </c>
      <c r="B127" s="15">
        <f>IF('Shipment Data'!A127="","",'Shipment Data'!C127)</f>
        <v/>
      </c>
      <c r="C127" s="15">
        <f>IF('Shipment Data'!A127="","",'Shipment Data'!D127)</f>
        <v/>
      </c>
      <c r="D127" s="15">
        <f>IF('Shipment Data'!A127="","",'Shipment Data'!J127)</f>
        <v/>
      </c>
      <c r="E127" s="16">
        <f>IF('Shipment Data'!A127="","",'Shipment Data'!F127)</f>
        <v/>
      </c>
      <c r="F127" s="17">
        <f>IF('Shipment Data'!A127="","",('Shipment Data'!G127*'Shipment Data'!H127*'Shipment Data'!I127)/5000)</f>
        <v/>
      </c>
      <c r="G127" s="17">
        <f>IF('Shipment Data'!A127="","",CEILING(MAX(E127,F127),0.5))</f>
        <v/>
      </c>
      <c r="H127" s="16">
        <f>IF('Shipment Data'!A127="","",'Shipment Data'!K127)</f>
        <v/>
      </c>
      <c r="I127" s="6">
        <f>IF('Shipment Data'!A127="","",IF(H127&gt;G127,"COURIER OVER-ROUNDED WEIGHT","OK"))</f>
        <v/>
      </c>
      <c r="J127" s="18">
        <f>IF('Shipment Data'!A127="","",INDEX('Rate Card'!$D$4:$D$8,MATCH(B127,'Rate Card'!$A$4:$A$8,0)))</f>
        <v/>
      </c>
      <c r="K127" s="18">
        <f>IF('Shipment Data'!A127="","",ROUND((G127-INDEX('Rate Card'!$C$4:$C$8,MATCH(B127,'Rate Card'!$A$4:$A$8,0)))/0.5,0)*INDEX('Rate Card'!$E$4:$E$8,MATCH(B127,'Rate Card'!$A$4:$A$8,0)))</f>
        <v/>
      </c>
      <c r="L127" s="18">
        <f>IF('Shipment Data'!A127="","",IF(C127="COD",MAX('Shipment Data'!E127*INDEX('Rate Card'!$F$4:$F$8,MATCH(B127,'Rate Card'!$A$4:$A$8,0)),INDEX('Rate Card'!$G$4:$G$8,MATCH(B127,'Rate Card'!$A$4:$A$8,0))),0))</f>
        <v/>
      </c>
      <c r="M127" s="18">
        <f>IF('Shipment Data'!A127="","",IF(D127="RTO",(J127+K127)*INDEX('Rate Card'!$H$4:$H$8,MATCH(B127,'Rate Card'!$A$4:$A$8,0)),0))</f>
        <v/>
      </c>
      <c r="N127" s="19">
        <f>IF('Shipment Data'!A127="","",J127+K127+L127+M127)</f>
        <v/>
      </c>
      <c r="O127" s="18">
        <f>IF('Shipment Data'!A127="","",'Shipment Data'!L127)</f>
        <v/>
      </c>
      <c r="P127" s="19">
        <f>IF('Shipment Data'!A127="","",O127-N127)</f>
        <v/>
      </c>
      <c r="Q127" s="6">
        <f>IF('Shipment Data'!A127="","",IF(P127&gt;1,"OVERCHARGED",IF(P127&lt;-1,"UNDERBILLED","MATCH")))</f>
        <v/>
      </c>
    </row>
    <row r="128">
      <c r="A128" s="15">
        <f>IF('Shipment Data'!A128="","",'Shipment Data'!A128)</f>
        <v/>
      </c>
      <c r="B128" s="15">
        <f>IF('Shipment Data'!A128="","",'Shipment Data'!C128)</f>
        <v/>
      </c>
      <c r="C128" s="15">
        <f>IF('Shipment Data'!A128="","",'Shipment Data'!D128)</f>
        <v/>
      </c>
      <c r="D128" s="15">
        <f>IF('Shipment Data'!A128="","",'Shipment Data'!J128)</f>
        <v/>
      </c>
      <c r="E128" s="16">
        <f>IF('Shipment Data'!A128="","",'Shipment Data'!F128)</f>
        <v/>
      </c>
      <c r="F128" s="17">
        <f>IF('Shipment Data'!A128="","",('Shipment Data'!G128*'Shipment Data'!H128*'Shipment Data'!I128)/5000)</f>
        <v/>
      </c>
      <c r="G128" s="17">
        <f>IF('Shipment Data'!A128="","",CEILING(MAX(E128,F128),0.5))</f>
        <v/>
      </c>
      <c r="H128" s="16">
        <f>IF('Shipment Data'!A128="","",'Shipment Data'!K128)</f>
        <v/>
      </c>
      <c r="I128" s="6">
        <f>IF('Shipment Data'!A128="","",IF(H128&gt;G128,"COURIER OVER-ROUNDED WEIGHT","OK"))</f>
        <v/>
      </c>
      <c r="J128" s="18">
        <f>IF('Shipment Data'!A128="","",INDEX('Rate Card'!$D$4:$D$8,MATCH(B128,'Rate Card'!$A$4:$A$8,0)))</f>
        <v/>
      </c>
      <c r="K128" s="18">
        <f>IF('Shipment Data'!A128="","",ROUND((G128-INDEX('Rate Card'!$C$4:$C$8,MATCH(B128,'Rate Card'!$A$4:$A$8,0)))/0.5,0)*INDEX('Rate Card'!$E$4:$E$8,MATCH(B128,'Rate Card'!$A$4:$A$8,0)))</f>
        <v/>
      </c>
      <c r="L128" s="18">
        <f>IF('Shipment Data'!A128="","",IF(C128="COD",MAX('Shipment Data'!E128*INDEX('Rate Card'!$F$4:$F$8,MATCH(B128,'Rate Card'!$A$4:$A$8,0)),INDEX('Rate Card'!$G$4:$G$8,MATCH(B128,'Rate Card'!$A$4:$A$8,0))),0))</f>
        <v/>
      </c>
      <c r="M128" s="18">
        <f>IF('Shipment Data'!A128="","",IF(D128="RTO",(J128+K128)*INDEX('Rate Card'!$H$4:$H$8,MATCH(B128,'Rate Card'!$A$4:$A$8,0)),0))</f>
        <v/>
      </c>
      <c r="N128" s="19">
        <f>IF('Shipment Data'!A128="","",J128+K128+L128+M128)</f>
        <v/>
      </c>
      <c r="O128" s="18">
        <f>IF('Shipment Data'!A128="","",'Shipment Data'!L128)</f>
        <v/>
      </c>
      <c r="P128" s="19">
        <f>IF('Shipment Data'!A128="","",O128-N128)</f>
        <v/>
      </c>
      <c r="Q128" s="6">
        <f>IF('Shipment Data'!A128="","",IF(P128&gt;1,"OVERCHARGED",IF(P128&lt;-1,"UNDERBILLED","MATCH")))</f>
        <v/>
      </c>
    </row>
    <row r="129">
      <c r="A129" s="15">
        <f>IF('Shipment Data'!A129="","",'Shipment Data'!A129)</f>
        <v/>
      </c>
      <c r="B129" s="15">
        <f>IF('Shipment Data'!A129="","",'Shipment Data'!C129)</f>
        <v/>
      </c>
      <c r="C129" s="15">
        <f>IF('Shipment Data'!A129="","",'Shipment Data'!D129)</f>
        <v/>
      </c>
      <c r="D129" s="15">
        <f>IF('Shipment Data'!A129="","",'Shipment Data'!J129)</f>
        <v/>
      </c>
      <c r="E129" s="16">
        <f>IF('Shipment Data'!A129="","",'Shipment Data'!F129)</f>
        <v/>
      </c>
      <c r="F129" s="17">
        <f>IF('Shipment Data'!A129="","",('Shipment Data'!G129*'Shipment Data'!H129*'Shipment Data'!I129)/5000)</f>
        <v/>
      </c>
      <c r="G129" s="17">
        <f>IF('Shipment Data'!A129="","",CEILING(MAX(E129,F129),0.5))</f>
        <v/>
      </c>
      <c r="H129" s="16">
        <f>IF('Shipment Data'!A129="","",'Shipment Data'!K129)</f>
        <v/>
      </c>
      <c r="I129" s="6">
        <f>IF('Shipment Data'!A129="","",IF(H129&gt;G129,"COURIER OVER-ROUNDED WEIGHT","OK"))</f>
        <v/>
      </c>
      <c r="J129" s="18">
        <f>IF('Shipment Data'!A129="","",INDEX('Rate Card'!$D$4:$D$8,MATCH(B129,'Rate Card'!$A$4:$A$8,0)))</f>
        <v/>
      </c>
      <c r="K129" s="18">
        <f>IF('Shipment Data'!A129="","",ROUND((G129-INDEX('Rate Card'!$C$4:$C$8,MATCH(B129,'Rate Card'!$A$4:$A$8,0)))/0.5,0)*INDEX('Rate Card'!$E$4:$E$8,MATCH(B129,'Rate Card'!$A$4:$A$8,0)))</f>
        <v/>
      </c>
      <c r="L129" s="18">
        <f>IF('Shipment Data'!A129="","",IF(C129="COD",MAX('Shipment Data'!E129*INDEX('Rate Card'!$F$4:$F$8,MATCH(B129,'Rate Card'!$A$4:$A$8,0)),INDEX('Rate Card'!$G$4:$G$8,MATCH(B129,'Rate Card'!$A$4:$A$8,0))),0))</f>
        <v/>
      </c>
      <c r="M129" s="18">
        <f>IF('Shipment Data'!A129="","",IF(D129="RTO",(J129+K129)*INDEX('Rate Card'!$H$4:$H$8,MATCH(B129,'Rate Card'!$A$4:$A$8,0)),0))</f>
        <v/>
      </c>
      <c r="N129" s="19">
        <f>IF('Shipment Data'!A129="","",J129+K129+L129+M129)</f>
        <v/>
      </c>
      <c r="O129" s="18">
        <f>IF('Shipment Data'!A129="","",'Shipment Data'!L129)</f>
        <v/>
      </c>
      <c r="P129" s="19">
        <f>IF('Shipment Data'!A129="","",O129-N129)</f>
        <v/>
      </c>
      <c r="Q129" s="6">
        <f>IF('Shipment Data'!A129="","",IF(P129&gt;1,"OVERCHARGED",IF(P129&lt;-1,"UNDERBILLED","MATCH")))</f>
        <v/>
      </c>
    </row>
    <row r="130">
      <c r="A130" s="15">
        <f>IF('Shipment Data'!A130="","",'Shipment Data'!A130)</f>
        <v/>
      </c>
      <c r="B130" s="15">
        <f>IF('Shipment Data'!A130="","",'Shipment Data'!C130)</f>
        <v/>
      </c>
      <c r="C130" s="15">
        <f>IF('Shipment Data'!A130="","",'Shipment Data'!D130)</f>
        <v/>
      </c>
      <c r="D130" s="15">
        <f>IF('Shipment Data'!A130="","",'Shipment Data'!J130)</f>
        <v/>
      </c>
      <c r="E130" s="16">
        <f>IF('Shipment Data'!A130="","",'Shipment Data'!F130)</f>
        <v/>
      </c>
      <c r="F130" s="17">
        <f>IF('Shipment Data'!A130="","",('Shipment Data'!G130*'Shipment Data'!H130*'Shipment Data'!I130)/5000)</f>
        <v/>
      </c>
      <c r="G130" s="17">
        <f>IF('Shipment Data'!A130="","",CEILING(MAX(E130,F130),0.5))</f>
        <v/>
      </c>
      <c r="H130" s="16">
        <f>IF('Shipment Data'!A130="","",'Shipment Data'!K130)</f>
        <v/>
      </c>
      <c r="I130" s="6">
        <f>IF('Shipment Data'!A130="","",IF(H130&gt;G130,"COURIER OVER-ROUNDED WEIGHT","OK"))</f>
        <v/>
      </c>
      <c r="J130" s="18">
        <f>IF('Shipment Data'!A130="","",INDEX('Rate Card'!$D$4:$D$8,MATCH(B130,'Rate Card'!$A$4:$A$8,0)))</f>
        <v/>
      </c>
      <c r="K130" s="18">
        <f>IF('Shipment Data'!A130="","",ROUND((G130-INDEX('Rate Card'!$C$4:$C$8,MATCH(B130,'Rate Card'!$A$4:$A$8,0)))/0.5,0)*INDEX('Rate Card'!$E$4:$E$8,MATCH(B130,'Rate Card'!$A$4:$A$8,0)))</f>
        <v/>
      </c>
      <c r="L130" s="18">
        <f>IF('Shipment Data'!A130="","",IF(C130="COD",MAX('Shipment Data'!E130*INDEX('Rate Card'!$F$4:$F$8,MATCH(B130,'Rate Card'!$A$4:$A$8,0)),INDEX('Rate Card'!$G$4:$G$8,MATCH(B130,'Rate Card'!$A$4:$A$8,0))),0))</f>
        <v/>
      </c>
      <c r="M130" s="18">
        <f>IF('Shipment Data'!A130="","",IF(D130="RTO",(J130+K130)*INDEX('Rate Card'!$H$4:$H$8,MATCH(B130,'Rate Card'!$A$4:$A$8,0)),0))</f>
        <v/>
      </c>
      <c r="N130" s="19">
        <f>IF('Shipment Data'!A130="","",J130+K130+L130+M130)</f>
        <v/>
      </c>
      <c r="O130" s="18">
        <f>IF('Shipment Data'!A130="","",'Shipment Data'!L130)</f>
        <v/>
      </c>
      <c r="P130" s="19">
        <f>IF('Shipment Data'!A130="","",O130-N130)</f>
        <v/>
      </c>
      <c r="Q130" s="6">
        <f>IF('Shipment Data'!A130="","",IF(P130&gt;1,"OVERCHARGED",IF(P130&lt;-1,"UNDERBILLED","MATCH")))</f>
        <v/>
      </c>
    </row>
    <row r="131">
      <c r="A131" s="15">
        <f>IF('Shipment Data'!A131="","",'Shipment Data'!A131)</f>
        <v/>
      </c>
      <c r="B131" s="15">
        <f>IF('Shipment Data'!A131="","",'Shipment Data'!C131)</f>
        <v/>
      </c>
      <c r="C131" s="15">
        <f>IF('Shipment Data'!A131="","",'Shipment Data'!D131)</f>
        <v/>
      </c>
      <c r="D131" s="15">
        <f>IF('Shipment Data'!A131="","",'Shipment Data'!J131)</f>
        <v/>
      </c>
      <c r="E131" s="16">
        <f>IF('Shipment Data'!A131="","",'Shipment Data'!F131)</f>
        <v/>
      </c>
      <c r="F131" s="17">
        <f>IF('Shipment Data'!A131="","",('Shipment Data'!G131*'Shipment Data'!H131*'Shipment Data'!I131)/5000)</f>
        <v/>
      </c>
      <c r="G131" s="17">
        <f>IF('Shipment Data'!A131="","",CEILING(MAX(E131,F131),0.5))</f>
        <v/>
      </c>
      <c r="H131" s="16">
        <f>IF('Shipment Data'!A131="","",'Shipment Data'!K131)</f>
        <v/>
      </c>
      <c r="I131" s="6">
        <f>IF('Shipment Data'!A131="","",IF(H131&gt;G131,"COURIER OVER-ROUNDED WEIGHT","OK"))</f>
        <v/>
      </c>
      <c r="J131" s="18">
        <f>IF('Shipment Data'!A131="","",INDEX('Rate Card'!$D$4:$D$8,MATCH(B131,'Rate Card'!$A$4:$A$8,0)))</f>
        <v/>
      </c>
      <c r="K131" s="18">
        <f>IF('Shipment Data'!A131="","",ROUND((G131-INDEX('Rate Card'!$C$4:$C$8,MATCH(B131,'Rate Card'!$A$4:$A$8,0)))/0.5,0)*INDEX('Rate Card'!$E$4:$E$8,MATCH(B131,'Rate Card'!$A$4:$A$8,0)))</f>
        <v/>
      </c>
      <c r="L131" s="18">
        <f>IF('Shipment Data'!A131="","",IF(C131="COD",MAX('Shipment Data'!E131*INDEX('Rate Card'!$F$4:$F$8,MATCH(B131,'Rate Card'!$A$4:$A$8,0)),INDEX('Rate Card'!$G$4:$G$8,MATCH(B131,'Rate Card'!$A$4:$A$8,0))),0))</f>
        <v/>
      </c>
      <c r="M131" s="18">
        <f>IF('Shipment Data'!A131="","",IF(D131="RTO",(J131+K131)*INDEX('Rate Card'!$H$4:$H$8,MATCH(B131,'Rate Card'!$A$4:$A$8,0)),0))</f>
        <v/>
      </c>
      <c r="N131" s="19">
        <f>IF('Shipment Data'!A131="","",J131+K131+L131+M131)</f>
        <v/>
      </c>
      <c r="O131" s="18">
        <f>IF('Shipment Data'!A131="","",'Shipment Data'!L131)</f>
        <v/>
      </c>
      <c r="P131" s="19">
        <f>IF('Shipment Data'!A131="","",O131-N131)</f>
        <v/>
      </c>
      <c r="Q131" s="6">
        <f>IF('Shipment Data'!A131="","",IF(P131&gt;1,"OVERCHARGED",IF(P131&lt;-1,"UNDERBILLED","MATCH")))</f>
        <v/>
      </c>
    </row>
    <row r="132">
      <c r="A132" s="15">
        <f>IF('Shipment Data'!A132="","",'Shipment Data'!A132)</f>
        <v/>
      </c>
      <c r="B132" s="15">
        <f>IF('Shipment Data'!A132="","",'Shipment Data'!C132)</f>
        <v/>
      </c>
      <c r="C132" s="15">
        <f>IF('Shipment Data'!A132="","",'Shipment Data'!D132)</f>
        <v/>
      </c>
      <c r="D132" s="15">
        <f>IF('Shipment Data'!A132="","",'Shipment Data'!J132)</f>
        <v/>
      </c>
      <c r="E132" s="16">
        <f>IF('Shipment Data'!A132="","",'Shipment Data'!F132)</f>
        <v/>
      </c>
      <c r="F132" s="17">
        <f>IF('Shipment Data'!A132="","",('Shipment Data'!G132*'Shipment Data'!H132*'Shipment Data'!I132)/5000)</f>
        <v/>
      </c>
      <c r="G132" s="17">
        <f>IF('Shipment Data'!A132="","",CEILING(MAX(E132,F132),0.5))</f>
        <v/>
      </c>
      <c r="H132" s="16">
        <f>IF('Shipment Data'!A132="","",'Shipment Data'!K132)</f>
        <v/>
      </c>
      <c r="I132" s="6">
        <f>IF('Shipment Data'!A132="","",IF(H132&gt;G132,"COURIER OVER-ROUNDED WEIGHT","OK"))</f>
        <v/>
      </c>
      <c r="J132" s="18">
        <f>IF('Shipment Data'!A132="","",INDEX('Rate Card'!$D$4:$D$8,MATCH(B132,'Rate Card'!$A$4:$A$8,0)))</f>
        <v/>
      </c>
      <c r="K132" s="18">
        <f>IF('Shipment Data'!A132="","",ROUND((G132-INDEX('Rate Card'!$C$4:$C$8,MATCH(B132,'Rate Card'!$A$4:$A$8,0)))/0.5,0)*INDEX('Rate Card'!$E$4:$E$8,MATCH(B132,'Rate Card'!$A$4:$A$8,0)))</f>
        <v/>
      </c>
      <c r="L132" s="18">
        <f>IF('Shipment Data'!A132="","",IF(C132="COD",MAX('Shipment Data'!E132*INDEX('Rate Card'!$F$4:$F$8,MATCH(B132,'Rate Card'!$A$4:$A$8,0)),INDEX('Rate Card'!$G$4:$G$8,MATCH(B132,'Rate Card'!$A$4:$A$8,0))),0))</f>
        <v/>
      </c>
      <c r="M132" s="18">
        <f>IF('Shipment Data'!A132="","",IF(D132="RTO",(J132+K132)*INDEX('Rate Card'!$H$4:$H$8,MATCH(B132,'Rate Card'!$A$4:$A$8,0)),0))</f>
        <v/>
      </c>
      <c r="N132" s="19">
        <f>IF('Shipment Data'!A132="","",J132+K132+L132+M132)</f>
        <v/>
      </c>
      <c r="O132" s="18">
        <f>IF('Shipment Data'!A132="","",'Shipment Data'!L132)</f>
        <v/>
      </c>
      <c r="P132" s="19">
        <f>IF('Shipment Data'!A132="","",O132-N132)</f>
        <v/>
      </c>
      <c r="Q132" s="6">
        <f>IF('Shipment Data'!A132="","",IF(P132&gt;1,"OVERCHARGED",IF(P132&lt;-1,"UNDERBILLED","MATCH")))</f>
        <v/>
      </c>
    </row>
    <row r="133">
      <c r="A133" s="15">
        <f>IF('Shipment Data'!A133="","",'Shipment Data'!A133)</f>
        <v/>
      </c>
      <c r="B133" s="15">
        <f>IF('Shipment Data'!A133="","",'Shipment Data'!C133)</f>
        <v/>
      </c>
      <c r="C133" s="15">
        <f>IF('Shipment Data'!A133="","",'Shipment Data'!D133)</f>
        <v/>
      </c>
      <c r="D133" s="15">
        <f>IF('Shipment Data'!A133="","",'Shipment Data'!J133)</f>
        <v/>
      </c>
      <c r="E133" s="16">
        <f>IF('Shipment Data'!A133="","",'Shipment Data'!F133)</f>
        <v/>
      </c>
      <c r="F133" s="17">
        <f>IF('Shipment Data'!A133="","",('Shipment Data'!G133*'Shipment Data'!H133*'Shipment Data'!I133)/5000)</f>
        <v/>
      </c>
      <c r="G133" s="17">
        <f>IF('Shipment Data'!A133="","",CEILING(MAX(E133,F133),0.5))</f>
        <v/>
      </c>
      <c r="H133" s="16">
        <f>IF('Shipment Data'!A133="","",'Shipment Data'!K133)</f>
        <v/>
      </c>
      <c r="I133" s="6">
        <f>IF('Shipment Data'!A133="","",IF(H133&gt;G133,"COURIER OVER-ROUNDED WEIGHT","OK"))</f>
        <v/>
      </c>
      <c r="J133" s="18">
        <f>IF('Shipment Data'!A133="","",INDEX('Rate Card'!$D$4:$D$8,MATCH(B133,'Rate Card'!$A$4:$A$8,0)))</f>
        <v/>
      </c>
      <c r="K133" s="18">
        <f>IF('Shipment Data'!A133="","",ROUND((G133-INDEX('Rate Card'!$C$4:$C$8,MATCH(B133,'Rate Card'!$A$4:$A$8,0)))/0.5,0)*INDEX('Rate Card'!$E$4:$E$8,MATCH(B133,'Rate Card'!$A$4:$A$8,0)))</f>
        <v/>
      </c>
      <c r="L133" s="18">
        <f>IF('Shipment Data'!A133="","",IF(C133="COD",MAX('Shipment Data'!E133*INDEX('Rate Card'!$F$4:$F$8,MATCH(B133,'Rate Card'!$A$4:$A$8,0)),INDEX('Rate Card'!$G$4:$G$8,MATCH(B133,'Rate Card'!$A$4:$A$8,0))),0))</f>
        <v/>
      </c>
      <c r="M133" s="18">
        <f>IF('Shipment Data'!A133="","",IF(D133="RTO",(J133+K133)*INDEX('Rate Card'!$H$4:$H$8,MATCH(B133,'Rate Card'!$A$4:$A$8,0)),0))</f>
        <v/>
      </c>
      <c r="N133" s="19">
        <f>IF('Shipment Data'!A133="","",J133+K133+L133+M133)</f>
        <v/>
      </c>
      <c r="O133" s="18">
        <f>IF('Shipment Data'!A133="","",'Shipment Data'!L133)</f>
        <v/>
      </c>
      <c r="P133" s="19">
        <f>IF('Shipment Data'!A133="","",O133-N133)</f>
        <v/>
      </c>
      <c r="Q133" s="6">
        <f>IF('Shipment Data'!A133="","",IF(P133&gt;1,"OVERCHARGED",IF(P133&lt;-1,"UNDERBILLED","MATCH")))</f>
        <v/>
      </c>
    </row>
    <row r="134">
      <c r="A134" s="15">
        <f>IF('Shipment Data'!A134="","",'Shipment Data'!A134)</f>
        <v/>
      </c>
      <c r="B134" s="15">
        <f>IF('Shipment Data'!A134="","",'Shipment Data'!C134)</f>
        <v/>
      </c>
      <c r="C134" s="15">
        <f>IF('Shipment Data'!A134="","",'Shipment Data'!D134)</f>
        <v/>
      </c>
      <c r="D134" s="15">
        <f>IF('Shipment Data'!A134="","",'Shipment Data'!J134)</f>
        <v/>
      </c>
      <c r="E134" s="16">
        <f>IF('Shipment Data'!A134="","",'Shipment Data'!F134)</f>
        <v/>
      </c>
      <c r="F134" s="17">
        <f>IF('Shipment Data'!A134="","",('Shipment Data'!G134*'Shipment Data'!H134*'Shipment Data'!I134)/5000)</f>
        <v/>
      </c>
      <c r="G134" s="17">
        <f>IF('Shipment Data'!A134="","",CEILING(MAX(E134,F134),0.5))</f>
        <v/>
      </c>
      <c r="H134" s="16">
        <f>IF('Shipment Data'!A134="","",'Shipment Data'!K134)</f>
        <v/>
      </c>
      <c r="I134" s="6">
        <f>IF('Shipment Data'!A134="","",IF(H134&gt;G134,"COURIER OVER-ROUNDED WEIGHT","OK"))</f>
        <v/>
      </c>
      <c r="J134" s="18">
        <f>IF('Shipment Data'!A134="","",INDEX('Rate Card'!$D$4:$D$8,MATCH(B134,'Rate Card'!$A$4:$A$8,0)))</f>
        <v/>
      </c>
      <c r="K134" s="18">
        <f>IF('Shipment Data'!A134="","",ROUND((G134-INDEX('Rate Card'!$C$4:$C$8,MATCH(B134,'Rate Card'!$A$4:$A$8,0)))/0.5,0)*INDEX('Rate Card'!$E$4:$E$8,MATCH(B134,'Rate Card'!$A$4:$A$8,0)))</f>
        <v/>
      </c>
      <c r="L134" s="18">
        <f>IF('Shipment Data'!A134="","",IF(C134="COD",MAX('Shipment Data'!E134*INDEX('Rate Card'!$F$4:$F$8,MATCH(B134,'Rate Card'!$A$4:$A$8,0)),INDEX('Rate Card'!$G$4:$G$8,MATCH(B134,'Rate Card'!$A$4:$A$8,0))),0))</f>
        <v/>
      </c>
      <c r="M134" s="18">
        <f>IF('Shipment Data'!A134="","",IF(D134="RTO",(J134+K134)*INDEX('Rate Card'!$H$4:$H$8,MATCH(B134,'Rate Card'!$A$4:$A$8,0)),0))</f>
        <v/>
      </c>
      <c r="N134" s="19">
        <f>IF('Shipment Data'!A134="","",J134+K134+L134+M134)</f>
        <v/>
      </c>
      <c r="O134" s="18">
        <f>IF('Shipment Data'!A134="","",'Shipment Data'!L134)</f>
        <v/>
      </c>
      <c r="P134" s="19">
        <f>IF('Shipment Data'!A134="","",O134-N134)</f>
        <v/>
      </c>
      <c r="Q134" s="6">
        <f>IF('Shipment Data'!A134="","",IF(P134&gt;1,"OVERCHARGED",IF(P134&lt;-1,"UNDERBILLED","MATCH")))</f>
        <v/>
      </c>
    </row>
    <row r="135">
      <c r="A135" s="15">
        <f>IF('Shipment Data'!A135="","",'Shipment Data'!A135)</f>
        <v/>
      </c>
      <c r="B135" s="15">
        <f>IF('Shipment Data'!A135="","",'Shipment Data'!C135)</f>
        <v/>
      </c>
      <c r="C135" s="15">
        <f>IF('Shipment Data'!A135="","",'Shipment Data'!D135)</f>
        <v/>
      </c>
      <c r="D135" s="15">
        <f>IF('Shipment Data'!A135="","",'Shipment Data'!J135)</f>
        <v/>
      </c>
      <c r="E135" s="16">
        <f>IF('Shipment Data'!A135="","",'Shipment Data'!F135)</f>
        <v/>
      </c>
      <c r="F135" s="17">
        <f>IF('Shipment Data'!A135="","",('Shipment Data'!G135*'Shipment Data'!H135*'Shipment Data'!I135)/5000)</f>
        <v/>
      </c>
      <c r="G135" s="17">
        <f>IF('Shipment Data'!A135="","",CEILING(MAX(E135,F135),0.5))</f>
        <v/>
      </c>
      <c r="H135" s="16">
        <f>IF('Shipment Data'!A135="","",'Shipment Data'!K135)</f>
        <v/>
      </c>
      <c r="I135" s="6">
        <f>IF('Shipment Data'!A135="","",IF(H135&gt;G135,"COURIER OVER-ROUNDED WEIGHT","OK"))</f>
        <v/>
      </c>
      <c r="J135" s="18">
        <f>IF('Shipment Data'!A135="","",INDEX('Rate Card'!$D$4:$D$8,MATCH(B135,'Rate Card'!$A$4:$A$8,0)))</f>
        <v/>
      </c>
      <c r="K135" s="18">
        <f>IF('Shipment Data'!A135="","",ROUND((G135-INDEX('Rate Card'!$C$4:$C$8,MATCH(B135,'Rate Card'!$A$4:$A$8,0)))/0.5,0)*INDEX('Rate Card'!$E$4:$E$8,MATCH(B135,'Rate Card'!$A$4:$A$8,0)))</f>
        <v/>
      </c>
      <c r="L135" s="18">
        <f>IF('Shipment Data'!A135="","",IF(C135="COD",MAX('Shipment Data'!E135*INDEX('Rate Card'!$F$4:$F$8,MATCH(B135,'Rate Card'!$A$4:$A$8,0)),INDEX('Rate Card'!$G$4:$G$8,MATCH(B135,'Rate Card'!$A$4:$A$8,0))),0))</f>
        <v/>
      </c>
      <c r="M135" s="18">
        <f>IF('Shipment Data'!A135="","",IF(D135="RTO",(J135+K135)*INDEX('Rate Card'!$H$4:$H$8,MATCH(B135,'Rate Card'!$A$4:$A$8,0)),0))</f>
        <v/>
      </c>
      <c r="N135" s="19">
        <f>IF('Shipment Data'!A135="","",J135+K135+L135+M135)</f>
        <v/>
      </c>
      <c r="O135" s="18">
        <f>IF('Shipment Data'!A135="","",'Shipment Data'!L135)</f>
        <v/>
      </c>
      <c r="P135" s="19">
        <f>IF('Shipment Data'!A135="","",O135-N135)</f>
        <v/>
      </c>
      <c r="Q135" s="6">
        <f>IF('Shipment Data'!A135="","",IF(P135&gt;1,"OVERCHARGED",IF(P135&lt;-1,"UNDERBILLED","MATCH")))</f>
        <v/>
      </c>
    </row>
    <row r="136">
      <c r="A136" s="15">
        <f>IF('Shipment Data'!A136="","",'Shipment Data'!A136)</f>
        <v/>
      </c>
      <c r="B136" s="15">
        <f>IF('Shipment Data'!A136="","",'Shipment Data'!C136)</f>
        <v/>
      </c>
      <c r="C136" s="15">
        <f>IF('Shipment Data'!A136="","",'Shipment Data'!D136)</f>
        <v/>
      </c>
      <c r="D136" s="15">
        <f>IF('Shipment Data'!A136="","",'Shipment Data'!J136)</f>
        <v/>
      </c>
      <c r="E136" s="16">
        <f>IF('Shipment Data'!A136="","",'Shipment Data'!F136)</f>
        <v/>
      </c>
      <c r="F136" s="17">
        <f>IF('Shipment Data'!A136="","",('Shipment Data'!G136*'Shipment Data'!H136*'Shipment Data'!I136)/5000)</f>
        <v/>
      </c>
      <c r="G136" s="17">
        <f>IF('Shipment Data'!A136="","",CEILING(MAX(E136,F136),0.5))</f>
        <v/>
      </c>
      <c r="H136" s="16">
        <f>IF('Shipment Data'!A136="","",'Shipment Data'!K136)</f>
        <v/>
      </c>
      <c r="I136" s="6">
        <f>IF('Shipment Data'!A136="","",IF(H136&gt;G136,"COURIER OVER-ROUNDED WEIGHT","OK"))</f>
        <v/>
      </c>
      <c r="J136" s="18">
        <f>IF('Shipment Data'!A136="","",INDEX('Rate Card'!$D$4:$D$8,MATCH(B136,'Rate Card'!$A$4:$A$8,0)))</f>
        <v/>
      </c>
      <c r="K136" s="18">
        <f>IF('Shipment Data'!A136="","",ROUND((G136-INDEX('Rate Card'!$C$4:$C$8,MATCH(B136,'Rate Card'!$A$4:$A$8,0)))/0.5,0)*INDEX('Rate Card'!$E$4:$E$8,MATCH(B136,'Rate Card'!$A$4:$A$8,0)))</f>
        <v/>
      </c>
      <c r="L136" s="18">
        <f>IF('Shipment Data'!A136="","",IF(C136="COD",MAX('Shipment Data'!E136*INDEX('Rate Card'!$F$4:$F$8,MATCH(B136,'Rate Card'!$A$4:$A$8,0)),INDEX('Rate Card'!$G$4:$G$8,MATCH(B136,'Rate Card'!$A$4:$A$8,0))),0))</f>
        <v/>
      </c>
      <c r="M136" s="18">
        <f>IF('Shipment Data'!A136="","",IF(D136="RTO",(J136+K136)*INDEX('Rate Card'!$H$4:$H$8,MATCH(B136,'Rate Card'!$A$4:$A$8,0)),0))</f>
        <v/>
      </c>
      <c r="N136" s="19">
        <f>IF('Shipment Data'!A136="","",J136+K136+L136+M136)</f>
        <v/>
      </c>
      <c r="O136" s="18">
        <f>IF('Shipment Data'!A136="","",'Shipment Data'!L136)</f>
        <v/>
      </c>
      <c r="P136" s="19">
        <f>IF('Shipment Data'!A136="","",O136-N136)</f>
        <v/>
      </c>
      <c r="Q136" s="6">
        <f>IF('Shipment Data'!A136="","",IF(P136&gt;1,"OVERCHARGED",IF(P136&lt;-1,"UNDERBILLED","MATCH")))</f>
        <v/>
      </c>
    </row>
    <row r="137">
      <c r="A137" s="15">
        <f>IF('Shipment Data'!A137="","",'Shipment Data'!A137)</f>
        <v/>
      </c>
      <c r="B137" s="15">
        <f>IF('Shipment Data'!A137="","",'Shipment Data'!C137)</f>
        <v/>
      </c>
      <c r="C137" s="15">
        <f>IF('Shipment Data'!A137="","",'Shipment Data'!D137)</f>
        <v/>
      </c>
      <c r="D137" s="15">
        <f>IF('Shipment Data'!A137="","",'Shipment Data'!J137)</f>
        <v/>
      </c>
      <c r="E137" s="16">
        <f>IF('Shipment Data'!A137="","",'Shipment Data'!F137)</f>
        <v/>
      </c>
      <c r="F137" s="17">
        <f>IF('Shipment Data'!A137="","",('Shipment Data'!G137*'Shipment Data'!H137*'Shipment Data'!I137)/5000)</f>
        <v/>
      </c>
      <c r="G137" s="17">
        <f>IF('Shipment Data'!A137="","",CEILING(MAX(E137,F137),0.5))</f>
        <v/>
      </c>
      <c r="H137" s="16">
        <f>IF('Shipment Data'!A137="","",'Shipment Data'!K137)</f>
        <v/>
      </c>
      <c r="I137" s="6">
        <f>IF('Shipment Data'!A137="","",IF(H137&gt;G137,"COURIER OVER-ROUNDED WEIGHT","OK"))</f>
        <v/>
      </c>
      <c r="J137" s="18">
        <f>IF('Shipment Data'!A137="","",INDEX('Rate Card'!$D$4:$D$8,MATCH(B137,'Rate Card'!$A$4:$A$8,0)))</f>
        <v/>
      </c>
      <c r="K137" s="18">
        <f>IF('Shipment Data'!A137="","",ROUND((G137-INDEX('Rate Card'!$C$4:$C$8,MATCH(B137,'Rate Card'!$A$4:$A$8,0)))/0.5,0)*INDEX('Rate Card'!$E$4:$E$8,MATCH(B137,'Rate Card'!$A$4:$A$8,0)))</f>
        <v/>
      </c>
      <c r="L137" s="18">
        <f>IF('Shipment Data'!A137="","",IF(C137="COD",MAX('Shipment Data'!E137*INDEX('Rate Card'!$F$4:$F$8,MATCH(B137,'Rate Card'!$A$4:$A$8,0)),INDEX('Rate Card'!$G$4:$G$8,MATCH(B137,'Rate Card'!$A$4:$A$8,0))),0))</f>
        <v/>
      </c>
      <c r="M137" s="18">
        <f>IF('Shipment Data'!A137="","",IF(D137="RTO",(J137+K137)*INDEX('Rate Card'!$H$4:$H$8,MATCH(B137,'Rate Card'!$A$4:$A$8,0)),0))</f>
        <v/>
      </c>
      <c r="N137" s="19">
        <f>IF('Shipment Data'!A137="","",J137+K137+L137+M137)</f>
        <v/>
      </c>
      <c r="O137" s="18">
        <f>IF('Shipment Data'!A137="","",'Shipment Data'!L137)</f>
        <v/>
      </c>
      <c r="P137" s="19">
        <f>IF('Shipment Data'!A137="","",O137-N137)</f>
        <v/>
      </c>
      <c r="Q137" s="6">
        <f>IF('Shipment Data'!A137="","",IF(P137&gt;1,"OVERCHARGED",IF(P137&lt;-1,"UNDERBILLED","MATCH")))</f>
        <v/>
      </c>
    </row>
    <row r="138">
      <c r="A138" s="15">
        <f>IF('Shipment Data'!A138="","",'Shipment Data'!A138)</f>
        <v/>
      </c>
      <c r="B138" s="15">
        <f>IF('Shipment Data'!A138="","",'Shipment Data'!C138)</f>
        <v/>
      </c>
      <c r="C138" s="15">
        <f>IF('Shipment Data'!A138="","",'Shipment Data'!D138)</f>
        <v/>
      </c>
      <c r="D138" s="15">
        <f>IF('Shipment Data'!A138="","",'Shipment Data'!J138)</f>
        <v/>
      </c>
      <c r="E138" s="16">
        <f>IF('Shipment Data'!A138="","",'Shipment Data'!F138)</f>
        <v/>
      </c>
      <c r="F138" s="17">
        <f>IF('Shipment Data'!A138="","",('Shipment Data'!G138*'Shipment Data'!H138*'Shipment Data'!I138)/5000)</f>
        <v/>
      </c>
      <c r="G138" s="17">
        <f>IF('Shipment Data'!A138="","",CEILING(MAX(E138,F138),0.5))</f>
        <v/>
      </c>
      <c r="H138" s="16">
        <f>IF('Shipment Data'!A138="","",'Shipment Data'!K138)</f>
        <v/>
      </c>
      <c r="I138" s="6">
        <f>IF('Shipment Data'!A138="","",IF(H138&gt;G138,"COURIER OVER-ROUNDED WEIGHT","OK"))</f>
        <v/>
      </c>
      <c r="J138" s="18">
        <f>IF('Shipment Data'!A138="","",INDEX('Rate Card'!$D$4:$D$8,MATCH(B138,'Rate Card'!$A$4:$A$8,0)))</f>
        <v/>
      </c>
      <c r="K138" s="18">
        <f>IF('Shipment Data'!A138="","",ROUND((G138-INDEX('Rate Card'!$C$4:$C$8,MATCH(B138,'Rate Card'!$A$4:$A$8,0)))/0.5,0)*INDEX('Rate Card'!$E$4:$E$8,MATCH(B138,'Rate Card'!$A$4:$A$8,0)))</f>
        <v/>
      </c>
      <c r="L138" s="18">
        <f>IF('Shipment Data'!A138="","",IF(C138="COD",MAX('Shipment Data'!E138*INDEX('Rate Card'!$F$4:$F$8,MATCH(B138,'Rate Card'!$A$4:$A$8,0)),INDEX('Rate Card'!$G$4:$G$8,MATCH(B138,'Rate Card'!$A$4:$A$8,0))),0))</f>
        <v/>
      </c>
      <c r="M138" s="18">
        <f>IF('Shipment Data'!A138="","",IF(D138="RTO",(J138+K138)*INDEX('Rate Card'!$H$4:$H$8,MATCH(B138,'Rate Card'!$A$4:$A$8,0)),0))</f>
        <v/>
      </c>
      <c r="N138" s="19">
        <f>IF('Shipment Data'!A138="","",J138+K138+L138+M138)</f>
        <v/>
      </c>
      <c r="O138" s="18">
        <f>IF('Shipment Data'!A138="","",'Shipment Data'!L138)</f>
        <v/>
      </c>
      <c r="P138" s="19">
        <f>IF('Shipment Data'!A138="","",O138-N138)</f>
        <v/>
      </c>
      <c r="Q138" s="6">
        <f>IF('Shipment Data'!A138="","",IF(P138&gt;1,"OVERCHARGED",IF(P138&lt;-1,"UNDERBILLED","MATCH")))</f>
        <v/>
      </c>
    </row>
    <row r="139">
      <c r="A139" s="15">
        <f>IF('Shipment Data'!A139="","",'Shipment Data'!A139)</f>
        <v/>
      </c>
      <c r="B139" s="15">
        <f>IF('Shipment Data'!A139="","",'Shipment Data'!C139)</f>
        <v/>
      </c>
      <c r="C139" s="15">
        <f>IF('Shipment Data'!A139="","",'Shipment Data'!D139)</f>
        <v/>
      </c>
      <c r="D139" s="15">
        <f>IF('Shipment Data'!A139="","",'Shipment Data'!J139)</f>
        <v/>
      </c>
      <c r="E139" s="16">
        <f>IF('Shipment Data'!A139="","",'Shipment Data'!F139)</f>
        <v/>
      </c>
      <c r="F139" s="17">
        <f>IF('Shipment Data'!A139="","",('Shipment Data'!G139*'Shipment Data'!H139*'Shipment Data'!I139)/5000)</f>
        <v/>
      </c>
      <c r="G139" s="17">
        <f>IF('Shipment Data'!A139="","",CEILING(MAX(E139,F139),0.5))</f>
        <v/>
      </c>
      <c r="H139" s="16">
        <f>IF('Shipment Data'!A139="","",'Shipment Data'!K139)</f>
        <v/>
      </c>
      <c r="I139" s="6">
        <f>IF('Shipment Data'!A139="","",IF(H139&gt;G139,"COURIER OVER-ROUNDED WEIGHT","OK"))</f>
        <v/>
      </c>
      <c r="J139" s="18">
        <f>IF('Shipment Data'!A139="","",INDEX('Rate Card'!$D$4:$D$8,MATCH(B139,'Rate Card'!$A$4:$A$8,0)))</f>
        <v/>
      </c>
      <c r="K139" s="18">
        <f>IF('Shipment Data'!A139="","",ROUND((G139-INDEX('Rate Card'!$C$4:$C$8,MATCH(B139,'Rate Card'!$A$4:$A$8,0)))/0.5,0)*INDEX('Rate Card'!$E$4:$E$8,MATCH(B139,'Rate Card'!$A$4:$A$8,0)))</f>
        <v/>
      </c>
      <c r="L139" s="18">
        <f>IF('Shipment Data'!A139="","",IF(C139="COD",MAX('Shipment Data'!E139*INDEX('Rate Card'!$F$4:$F$8,MATCH(B139,'Rate Card'!$A$4:$A$8,0)),INDEX('Rate Card'!$G$4:$G$8,MATCH(B139,'Rate Card'!$A$4:$A$8,0))),0))</f>
        <v/>
      </c>
      <c r="M139" s="18">
        <f>IF('Shipment Data'!A139="","",IF(D139="RTO",(J139+K139)*INDEX('Rate Card'!$H$4:$H$8,MATCH(B139,'Rate Card'!$A$4:$A$8,0)),0))</f>
        <v/>
      </c>
      <c r="N139" s="19">
        <f>IF('Shipment Data'!A139="","",J139+K139+L139+M139)</f>
        <v/>
      </c>
      <c r="O139" s="18">
        <f>IF('Shipment Data'!A139="","",'Shipment Data'!L139)</f>
        <v/>
      </c>
      <c r="P139" s="19">
        <f>IF('Shipment Data'!A139="","",O139-N139)</f>
        <v/>
      </c>
      <c r="Q139" s="6">
        <f>IF('Shipment Data'!A139="","",IF(P139&gt;1,"OVERCHARGED",IF(P139&lt;-1,"UNDERBILLED","MATCH")))</f>
        <v/>
      </c>
    </row>
    <row r="140">
      <c r="A140" s="15">
        <f>IF('Shipment Data'!A140="","",'Shipment Data'!A140)</f>
        <v/>
      </c>
      <c r="B140" s="15">
        <f>IF('Shipment Data'!A140="","",'Shipment Data'!C140)</f>
        <v/>
      </c>
      <c r="C140" s="15">
        <f>IF('Shipment Data'!A140="","",'Shipment Data'!D140)</f>
        <v/>
      </c>
      <c r="D140" s="15">
        <f>IF('Shipment Data'!A140="","",'Shipment Data'!J140)</f>
        <v/>
      </c>
      <c r="E140" s="16">
        <f>IF('Shipment Data'!A140="","",'Shipment Data'!F140)</f>
        <v/>
      </c>
      <c r="F140" s="17">
        <f>IF('Shipment Data'!A140="","",('Shipment Data'!G140*'Shipment Data'!H140*'Shipment Data'!I140)/5000)</f>
        <v/>
      </c>
      <c r="G140" s="17">
        <f>IF('Shipment Data'!A140="","",CEILING(MAX(E140,F140),0.5))</f>
        <v/>
      </c>
      <c r="H140" s="16">
        <f>IF('Shipment Data'!A140="","",'Shipment Data'!K140)</f>
        <v/>
      </c>
      <c r="I140" s="6">
        <f>IF('Shipment Data'!A140="","",IF(H140&gt;G140,"COURIER OVER-ROUNDED WEIGHT","OK"))</f>
        <v/>
      </c>
      <c r="J140" s="18">
        <f>IF('Shipment Data'!A140="","",INDEX('Rate Card'!$D$4:$D$8,MATCH(B140,'Rate Card'!$A$4:$A$8,0)))</f>
        <v/>
      </c>
      <c r="K140" s="18">
        <f>IF('Shipment Data'!A140="","",ROUND((G140-INDEX('Rate Card'!$C$4:$C$8,MATCH(B140,'Rate Card'!$A$4:$A$8,0)))/0.5,0)*INDEX('Rate Card'!$E$4:$E$8,MATCH(B140,'Rate Card'!$A$4:$A$8,0)))</f>
        <v/>
      </c>
      <c r="L140" s="18">
        <f>IF('Shipment Data'!A140="","",IF(C140="COD",MAX('Shipment Data'!E140*INDEX('Rate Card'!$F$4:$F$8,MATCH(B140,'Rate Card'!$A$4:$A$8,0)),INDEX('Rate Card'!$G$4:$G$8,MATCH(B140,'Rate Card'!$A$4:$A$8,0))),0))</f>
        <v/>
      </c>
      <c r="M140" s="18">
        <f>IF('Shipment Data'!A140="","",IF(D140="RTO",(J140+K140)*INDEX('Rate Card'!$H$4:$H$8,MATCH(B140,'Rate Card'!$A$4:$A$8,0)),0))</f>
        <v/>
      </c>
      <c r="N140" s="19">
        <f>IF('Shipment Data'!A140="","",J140+K140+L140+M140)</f>
        <v/>
      </c>
      <c r="O140" s="18">
        <f>IF('Shipment Data'!A140="","",'Shipment Data'!L140)</f>
        <v/>
      </c>
      <c r="P140" s="19">
        <f>IF('Shipment Data'!A140="","",O140-N140)</f>
        <v/>
      </c>
      <c r="Q140" s="6">
        <f>IF('Shipment Data'!A140="","",IF(P140&gt;1,"OVERCHARGED",IF(P140&lt;-1,"UNDERBILLED","MATCH")))</f>
        <v/>
      </c>
    </row>
    <row r="141">
      <c r="A141" s="15">
        <f>IF('Shipment Data'!A141="","",'Shipment Data'!A141)</f>
        <v/>
      </c>
      <c r="B141" s="15">
        <f>IF('Shipment Data'!A141="","",'Shipment Data'!C141)</f>
        <v/>
      </c>
      <c r="C141" s="15">
        <f>IF('Shipment Data'!A141="","",'Shipment Data'!D141)</f>
        <v/>
      </c>
      <c r="D141" s="15">
        <f>IF('Shipment Data'!A141="","",'Shipment Data'!J141)</f>
        <v/>
      </c>
      <c r="E141" s="16">
        <f>IF('Shipment Data'!A141="","",'Shipment Data'!F141)</f>
        <v/>
      </c>
      <c r="F141" s="17">
        <f>IF('Shipment Data'!A141="","",('Shipment Data'!G141*'Shipment Data'!H141*'Shipment Data'!I141)/5000)</f>
        <v/>
      </c>
      <c r="G141" s="17">
        <f>IF('Shipment Data'!A141="","",CEILING(MAX(E141,F141),0.5))</f>
        <v/>
      </c>
      <c r="H141" s="16">
        <f>IF('Shipment Data'!A141="","",'Shipment Data'!K141)</f>
        <v/>
      </c>
      <c r="I141" s="6">
        <f>IF('Shipment Data'!A141="","",IF(H141&gt;G141,"COURIER OVER-ROUNDED WEIGHT","OK"))</f>
        <v/>
      </c>
      <c r="J141" s="18">
        <f>IF('Shipment Data'!A141="","",INDEX('Rate Card'!$D$4:$D$8,MATCH(B141,'Rate Card'!$A$4:$A$8,0)))</f>
        <v/>
      </c>
      <c r="K141" s="18">
        <f>IF('Shipment Data'!A141="","",ROUND((G141-INDEX('Rate Card'!$C$4:$C$8,MATCH(B141,'Rate Card'!$A$4:$A$8,0)))/0.5,0)*INDEX('Rate Card'!$E$4:$E$8,MATCH(B141,'Rate Card'!$A$4:$A$8,0)))</f>
        <v/>
      </c>
      <c r="L141" s="18">
        <f>IF('Shipment Data'!A141="","",IF(C141="COD",MAX('Shipment Data'!E141*INDEX('Rate Card'!$F$4:$F$8,MATCH(B141,'Rate Card'!$A$4:$A$8,0)),INDEX('Rate Card'!$G$4:$G$8,MATCH(B141,'Rate Card'!$A$4:$A$8,0))),0))</f>
        <v/>
      </c>
      <c r="M141" s="18">
        <f>IF('Shipment Data'!A141="","",IF(D141="RTO",(J141+K141)*INDEX('Rate Card'!$H$4:$H$8,MATCH(B141,'Rate Card'!$A$4:$A$8,0)),0))</f>
        <v/>
      </c>
      <c r="N141" s="19">
        <f>IF('Shipment Data'!A141="","",J141+K141+L141+M141)</f>
        <v/>
      </c>
      <c r="O141" s="18">
        <f>IF('Shipment Data'!A141="","",'Shipment Data'!L141)</f>
        <v/>
      </c>
      <c r="P141" s="19">
        <f>IF('Shipment Data'!A141="","",O141-N141)</f>
        <v/>
      </c>
      <c r="Q141" s="6">
        <f>IF('Shipment Data'!A141="","",IF(P141&gt;1,"OVERCHARGED",IF(P141&lt;-1,"UNDERBILLED","MATCH")))</f>
        <v/>
      </c>
    </row>
    <row r="142">
      <c r="A142" s="15">
        <f>IF('Shipment Data'!A142="","",'Shipment Data'!A142)</f>
        <v/>
      </c>
      <c r="B142" s="15">
        <f>IF('Shipment Data'!A142="","",'Shipment Data'!C142)</f>
        <v/>
      </c>
      <c r="C142" s="15">
        <f>IF('Shipment Data'!A142="","",'Shipment Data'!D142)</f>
        <v/>
      </c>
      <c r="D142" s="15">
        <f>IF('Shipment Data'!A142="","",'Shipment Data'!J142)</f>
        <v/>
      </c>
      <c r="E142" s="16">
        <f>IF('Shipment Data'!A142="","",'Shipment Data'!F142)</f>
        <v/>
      </c>
      <c r="F142" s="17">
        <f>IF('Shipment Data'!A142="","",('Shipment Data'!G142*'Shipment Data'!H142*'Shipment Data'!I142)/5000)</f>
        <v/>
      </c>
      <c r="G142" s="17">
        <f>IF('Shipment Data'!A142="","",CEILING(MAX(E142,F142),0.5))</f>
        <v/>
      </c>
      <c r="H142" s="16">
        <f>IF('Shipment Data'!A142="","",'Shipment Data'!K142)</f>
        <v/>
      </c>
      <c r="I142" s="6">
        <f>IF('Shipment Data'!A142="","",IF(H142&gt;G142,"COURIER OVER-ROUNDED WEIGHT","OK"))</f>
        <v/>
      </c>
      <c r="J142" s="18">
        <f>IF('Shipment Data'!A142="","",INDEX('Rate Card'!$D$4:$D$8,MATCH(B142,'Rate Card'!$A$4:$A$8,0)))</f>
        <v/>
      </c>
      <c r="K142" s="18">
        <f>IF('Shipment Data'!A142="","",ROUND((G142-INDEX('Rate Card'!$C$4:$C$8,MATCH(B142,'Rate Card'!$A$4:$A$8,0)))/0.5,0)*INDEX('Rate Card'!$E$4:$E$8,MATCH(B142,'Rate Card'!$A$4:$A$8,0)))</f>
        <v/>
      </c>
      <c r="L142" s="18">
        <f>IF('Shipment Data'!A142="","",IF(C142="COD",MAX('Shipment Data'!E142*INDEX('Rate Card'!$F$4:$F$8,MATCH(B142,'Rate Card'!$A$4:$A$8,0)),INDEX('Rate Card'!$G$4:$G$8,MATCH(B142,'Rate Card'!$A$4:$A$8,0))),0))</f>
        <v/>
      </c>
      <c r="M142" s="18">
        <f>IF('Shipment Data'!A142="","",IF(D142="RTO",(J142+K142)*INDEX('Rate Card'!$H$4:$H$8,MATCH(B142,'Rate Card'!$A$4:$A$8,0)),0))</f>
        <v/>
      </c>
      <c r="N142" s="19">
        <f>IF('Shipment Data'!A142="","",J142+K142+L142+M142)</f>
        <v/>
      </c>
      <c r="O142" s="18">
        <f>IF('Shipment Data'!A142="","",'Shipment Data'!L142)</f>
        <v/>
      </c>
      <c r="P142" s="19">
        <f>IF('Shipment Data'!A142="","",O142-N142)</f>
        <v/>
      </c>
      <c r="Q142" s="6">
        <f>IF('Shipment Data'!A142="","",IF(P142&gt;1,"OVERCHARGED",IF(P142&lt;-1,"UNDERBILLED","MATCH")))</f>
        <v/>
      </c>
    </row>
    <row r="143">
      <c r="A143" s="15">
        <f>IF('Shipment Data'!A143="","",'Shipment Data'!A143)</f>
        <v/>
      </c>
      <c r="B143" s="15">
        <f>IF('Shipment Data'!A143="","",'Shipment Data'!C143)</f>
        <v/>
      </c>
      <c r="C143" s="15">
        <f>IF('Shipment Data'!A143="","",'Shipment Data'!D143)</f>
        <v/>
      </c>
      <c r="D143" s="15">
        <f>IF('Shipment Data'!A143="","",'Shipment Data'!J143)</f>
        <v/>
      </c>
      <c r="E143" s="16">
        <f>IF('Shipment Data'!A143="","",'Shipment Data'!F143)</f>
        <v/>
      </c>
      <c r="F143" s="17">
        <f>IF('Shipment Data'!A143="","",('Shipment Data'!G143*'Shipment Data'!H143*'Shipment Data'!I143)/5000)</f>
        <v/>
      </c>
      <c r="G143" s="17">
        <f>IF('Shipment Data'!A143="","",CEILING(MAX(E143,F143),0.5))</f>
        <v/>
      </c>
      <c r="H143" s="16">
        <f>IF('Shipment Data'!A143="","",'Shipment Data'!K143)</f>
        <v/>
      </c>
      <c r="I143" s="6">
        <f>IF('Shipment Data'!A143="","",IF(H143&gt;G143,"COURIER OVER-ROUNDED WEIGHT","OK"))</f>
        <v/>
      </c>
      <c r="J143" s="18">
        <f>IF('Shipment Data'!A143="","",INDEX('Rate Card'!$D$4:$D$8,MATCH(B143,'Rate Card'!$A$4:$A$8,0)))</f>
        <v/>
      </c>
      <c r="K143" s="18">
        <f>IF('Shipment Data'!A143="","",ROUND((G143-INDEX('Rate Card'!$C$4:$C$8,MATCH(B143,'Rate Card'!$A$4:$A$8,0)))/0.5,0)*INDEX('Rate Card'!$E$4:$E$8,MATCH(B143,'Rate Card'!$A$4:$A$8,0)))</f>
        <v/>
      </c>
      <c r="L143" s="18">
        <f>IF('Shipment Data'!A143="","",IF(C143="COD",MAX('Shipment Data'!E143*INDEX('Rate Card'!$F$4:$F$8,MATCH(B143,'Rate Card'!$A$4:$A$8,0)),INDEX('Rate Card'!$G$4:$G$8,MATCH(B143,'Rate Card'!$A$4:$A$8,0))),0))</f>
        <v/>
      </c>
      <c r="M143" s="18">
        <f>IF('Shipment Data'!A143="","",IF(D143="RTO",(J143+K143)*INDEX('Rate Card'!$H$4:$H$8,MATCH(B143,'Rate Card'!$A$4:$A$8,0)),0))</f>
        <v/>
      </c>
      <c r="N143" s="19">
        <f>IF('Shipment Data'!A143="","",J143+K143+L143+M143)</f>
        <v/>
      </c>
      <c r="O143" s="18">
        <f>IF('Shipment Data'!A143="","",'Shipment Data'!L143)</f>
        <v/>
      </c>
      <c r="P143" s="19">
        <f>IF('Shipment Data'!A143="","",O143-N143)</f>
        <v/>
      </c>
      <c r="Q143" s="6">
        <f>IF('Shipment Data'!A143="","",IF(P143&gt;1,"OVERCHARGED",IF(P143&lt;-1,"UNDERBILLED","MATCH")))</f>
        <v/>
      </c>
    </row>
    <row r="144">
      <c r="A144" s="15">
        <f>IF('Shipment Data'!A144="","",'Shipment Data'!A144)</f>
        <v/>
      </c>
      <c r="B144" s="15">
        <f>IF('Shipment Data'!A144="","",'Shipment Data'!C144)</f>
        <v/>
      </c>
      <c r="C144" s="15">
        <f>IF('Shipment Data'!A144="","",'Shipment Data'!D144)</f>
        <v/>
      </c>
      <c r="D144" s="15">
        <f>IF('Shipment Data'!A144="","",'Shipment Data'!J144)</f>
        <v/>
      </c>
      <c r="E144" s="16">
        <f>IF('Shipment Data'!A144="","",'Shipment Data'!F144)</f>
        <v/>
      </c>
      <c r="F144" s="17">
        <f>IF('Shipment Data'!A144="","",('Shipment Data'!G144*'Shipment Data'!H144*'Shipment Data'!I144)/5000)</f>
        <v/>
      </c>
      <c r="G144" s="17">
        <f>IF('Shipment Data'!A144="","",CEILING(MAX(E144,F144),0.5))</f>
        <v/>
      </c>
      <c r="H144" s="16">
        <f>IF('Shipment Data'!A144="","",'Shipment Data'!K144)</f>
        <v/>
      </c>
      <c r="I144" s="6">
        <f>IF('Shipment Data'!A144="","",IF(H144&gt;G144,"COURIER OVER-ROUNDED WEIGHT","OK"))</f>
        <v/>
      </c>
      <c r="J144" s="18">
        <f>IF('Shipment Data'!A144="","",INDEX('Rate Card'!$D$4:$D$8,MATCH(B144,'Rate Card'!$A$4:$A$8,0)))</f>
        <v/>
      </c>
      <c r="K144" s="18">
        <f>IF('Shipment Data'!A144="","",ROUND((G144-INDEX('Rate Card'!$C$4:$C$8,MATCH(B144,'Rate Card'!$A$4:$A$8,0)))/0.5,0)*INDEX('Rate Card'!$E$4:$E$8,MATCH(B144,'Rate Card'!$A$4:$A$8,0)))</f>
        <v/>
      </c>
      <c r="L144" s="18">
        <f>IF('Shipment Data'!A144="","",IF(C144="COD",MAX('Shipment Data'!E144*INDEX('Rate Card'!$F$4:$F$8,MATCH(B144,'Rate Card'!$A$4:$A$8,0)),INDEX('Rate Card'!$G$4:$G$8,MATCH(B144,'Rate Card'!$A$4:$A$8,0))),0))</f>
        <v/>
      </c>
      <c r="M144" s="18">
        <f>IF('Shipment Data'!A144="","",IF(D144="RTO",(J144+K144)*INDEX('Rate Card'!$H$4:$H$8,MATCH(B144,'Rate Card'!$A$4:$A$8,0)),0))</f>
        <v/>
      </c>
      <c r="N144" s="19">
        <f>IF('Shipment Data'!A144="","",J144+K144+L144+M144)</f>
        <v/>
      </c>
      <c r="O144" s="18">
        <f>IF('Shipment Data'!A144="","",'Shipment Data'!L144)</f>
        <v/>
      </c>
      <c r="P144" s="19">
        <f>IF('Shipment Data'!A144="","",O144-N144)</f>
        <v/>
      </c>
      <c r="Q144" s="6">
        <f>IF('Shipment Data'!A144="","",IF(P144&gt;1,"OVERCHARGED",IF(P144&lt;-1,"UNDERBILLED","MATCH")))</f>
        <v/>
      </c>
    </row>
    <row r="145">
      <c r="A145" s="15">
        <f>IF('Shipment Data'!A145="","",'Shipment Data'!A145)</f>
        <v/>
      </c>
      <c r="B145" s="15">
        <f>IF('Shipment Data'!A145="","",'Shipment Data'!C145)</f>
        <v/>
      </c>
      <c r="C145" s="15">
        <f>IF('Shipment Data'!A145="","",'Shipment Data'!D145)</f>
        <v/>
      </c>
      <c r="D145" s="15">
        <f>IF('Shipment Data'!A145="","",'Shipment Data'!J145)</f>
        <v/>
      </c>
      <c r="E145" s="16">
        <f>IF('Shipment Data'!A145="","",'Shipment Data'!F145)</f>
        <v/>
      </c>
      <c r="F145" s="17">
        <f>IF('Shipment Data'!A145="","",('Shipment Data'!G145*'Shipment Data'!H145*'Shipment Data'!I145)/5000)</f>
        <v/>
      </c>
      <c r="G145" s="17">
        <f>IF('Shipment Data'!A145="","",CEILING(MAX(E145,F145),0.5))</f>
        <v/>
      </c>
      <c r="H145" s="16">
        <f>IF('Shipment Data'!A145="","",'Shipment Data'!K145)</f>
        <v/>
      </c>
      <c r="I145" s="6">
        <f>IF('Shipment Data'!A145="","",IF(H145&gt;G145,"COURIER OVER-ROUNDED WEIGHT","OK"))</f>
        <v/>
      </c>
      <c r="J145" s="18">
        <f>IF('Shipment Data'!A145="","",INDEX('Rate Card'!$D$4:$D$8,MATCH(B145,'Rate Card'!$A$4:$A$8,0)))</f>
        <v/>
      </c>
      <c r="K145" s="18">
        <f>IF('Shipment Data'!A145="","",ROUND((G145-INDEX('Rate Card'!$C$4:$C$8,MATCH(B145,'Rate Card'!$A$4:$A$8,0)))/0.5,0)*INDEX('Rate Card'!$E$4:$E$8,MATCH(B145,'Rate Card'!$A$4:$A$8,0)))</f>
        <v/>
      </c>
      <c r="L145" s="18">
        <f>IF('Shipment Data'!A145="","",IF(C145="COD",MAX('Shipment Data'!E145*INDEX('Rate Card'!$F$4:$F$8,MATCH(B145,'Rate Card'!$A$4:$A$8,0)),INDEX('Rate Card'!$G$4:$G$8,MATCH(B145,'Rate Card'!$A$4:$A$8,0))),0))</f>
        <v/>
      </c>
      <c r="M145" s="18">
        <f>IF('Shipment Data'!A145="","",IF(D145="RTO",(J145+K145)*INDEX('Rate Card'!$H$4:$H$8,MATCH(B145,'Rate Card'!$A$4:$A$8,0)),0))</f>
        <v/>
      </c>
      <c r="N145" s="19">
        <f>IF('Shipment Data'!A145="","",J145+K145+L145+M145)</f>
        <v/>
      </c>
      <c r="O145" s="18">
        <f>IF('Shipment Data'!A145="","",'Shipment Data'!L145)</f>
        <v/>
      </c>
      <c r="P145" s="19">
        <f>IF('Shipment Data'!A145="","",O145-N145)</f>
        <v/>
      </c>
      <c r="Q145" s="6">
        <f>IF('Shipment Data'!A145="","",IF(P145&gt;1,"OVERCHARGED",IF(P145&lt;-1,"UNDERBILLED","MATCH")))</f>
        <v/>
      </c>
    </row>
    <row r="146">
      <c r="A146" s="15">
        <f>IF('Shipment Data'!A146="","",'Shipment Data'!A146)</f>
        <v/>
      </c>
      <c r="B146" s="15">
        <f>IF('Shipment Data'!A146="","",'Shipment Data'!C146)</f>
        <v/>
      </c>
      <c r="C146" s="15">
        <f>IF('Shipment Data'!A146="","",'Shipment Data'!D146)</f>
        <v/>
      </c>
      <c r="D146" s="15">
        <f>IF('Shipment Data'!A146="","",'Shipment Data'!J146)</f>
        <v/>
      </c>
      <c r="E146" s="16">
        <f>IF('Shipment Data'!A146="","",'Shipment Data'!F146)</f>
        <v/>
      </c>
      <c r="F146" s="17">
        <f>IF('Shipment Data'!A146="","",('Shipment Data'!G146*'Shipment Data'!H146*'Shipment Data'!I146)/5000)</f>
        <v/>
      </c>
      <c r="G146" s="17">
        <f>IF('Shipment Data'!A146="","",CEILING(MAX(E146,F146),0.5))</f>
        <v/>
      </c>
      <c r="H146" s="16">
        <f>IF('Shipment Data'!A146="","",'Shipment Data'!K146)</f>
        <v/>
      </c>
      <c r="I146" s="6">
        <f>IF('Shipment Data'!A146="","",IF(H146&gt;G146,"COURIER OVER-ROUNDED WEIGHT","OK"))</f>
        <v/>
      </c>
      <c r="J146" s="18">
        <f>IF('Shipment Data'!A146="","",INDEX('Rate Card'!$D$4:$D$8,MATCH(B146,'Rate Card'!$A$4:$A$8,0)))</f>
        <v/>
      </c>
      <c r="K146" s="18">
        <f>IF('Shipment Data'!A146="","",ROUND((G146-INDEX('Rate Card'!$C$4:$C$8,MATCH(B146,'Rate Card'!$A$4:$A$8,0)))/0.5,0)*INDEX('Rate Card'!$E$4:$E$8,MATCH(B146,'Rate Card'!$A$4:$A$8,0)))</f>
        <v/>
      </c>
      <c r="L146" s="18">
        <f>IF('Shipment Data'!A146="","",IF(C146="COD",MAX('Shipment Data'!E146*INDEX('Rate Card'!$F$4:$F$8,MATCH(B146,'Rate Card'!$A$4:$A$8,0)),INDEX('Rate Card'!$G$4:$G$8,MATCH(B146,'Rate Card'!$A$4:$A$8,0))),0))</f>
        <v/>
      </c>
      <c r="M146" s="18">
        <f>IF('Shipment Data'!A146="","",IF(D146="RTO",(J146+K146)*INDEX('Rate Card'!$H$4:$H$8,MATCH(B146,'Rate Card'!$A$4:$A$8,0)),0))</f>
        <v/>
      </c>
      <c r="N146" s="19">
        <f>IF('Shipment Data'!A146="","",J146+K146+L146+M146)</f>
        <v/>
      </c>
      <c r="O146" s="18">
        <f>IF('Shipment Data'!A146="","",'Shipment Data'!L146)</f>
        <v/>
      </c>
      <c r="P146" s="19">
        <f>IF('Shipment Data'!A146="","",O146-N146)</f>
        <v/>
      </c>
      <c r="Q146" s="6">
        <f>IF('Shipment Data'!A146="","",IF(P146&gt;1,"OVERCHARGED",IF(P146&lt;-1,"UNDERBILLED","MATCH")))</f>
        <v/>
      </c>
    </row>
    <row r="147">
      <c r="A147" s="15">
        <f>IF('Shipment Data'!A147="","",'Shipment Data'!A147)</f>
        <v/>
      </c>
      <c r="B147" s="15">
        <f>IF('Shipment Data'!A147="","",'Shipment Data'!C147)</f>
        <v/>
      </c>
      <c r="C147" s="15">
        <f>IF('Shipment Data'!A147="","",'Shipment Data'!D147)</f>
        <v/>
      </c>
      <c r="D147" s="15">
        <f>IF('Shipment Data'!A147="","",'Shipment Data'!J147)</f>
        <v/>
      </c>
      <c r="E147" s="16">
        <f>IF('Shipment Data'!A147="","",'Shipment Data'!F147)</f>
        <v/>
      </c>
      <c r="F147" s="17">
        <f>IF('Shipment Data'!A147="","",('Shipment Data'!G147*'Shipment Data'!H147*'Shipment Data'!I147)/5000)</f>
        <v/>
      </c>
      <c r="G147" s="17">
        <f>IF('Shipment Data'!A147="","",CEILING(MAX(E147,F147),0.5))</f>
        <v/>
      </c>
      <c r="H147" s="16">
        <f>IF('Shipment Data'!A147="","",'Shipment Data'!K147)</f>
        <v/>
      </c>
      <c r="I147" s="6">
        <f>IF('Shipment Data'!A147="","",IF(H147&gt;G147,"COURIER OVER-ROUNDED WEIGHT","OK"))</f>
        <v/>
      </c>
      <c r="J147" s="18">
        <f>IF('Shipment Data'!A147="","",INDEX('Rate Card'!$D$4:$D$8,MATCH(B147,'Rate Card'!$A$4:$A$8,0)))</f>
        <v/>
      </c>
      <c r="K147" s="18">
        <f>IF('Shipment Data'!A147="","",ROUND((G147-INDEX('Rate Card'!$C$4:$C$8,MATCH(B147,'Rate Card'!$A$4:$A$8,0)))/0.5,0)*INDEX('Rate Card'!$E$4:$E$8,MATCH(B147,'Rate Card'!$A$4:$A$8,0)))</f>
        <v/>
      </c>
      <c r="L147" s="18">
        <f>IF('Shipment Data'!A147="","",IF(C147="COD",MAX('Shipment Data'!E147*INDEX('Rate Card'!$F$4:$F$8,MATCH(B147,'Rate Card'!$A$4:$A$8,0)),INDEX('Rate Card'!$G$4:$G$8,MATCH(B147,'Rate Card'!$A$4:$A$8,0))),0))</f>
        <v/>
      </c>
      <c r="M147" s="18">
        <f>IF('Shipment Data'!A147="","",IF(D147="RTO",(J147+K147)*INDEX('Rate Card'!$H$4:$H$8,MATCH(B147,'Rate Card'!$A$4:$A$8,0)),0))</f>
        <v/>
      </c>
      <c r="N147" s="19">
        <f>IF('Shipment Data'!A147="","",J147+K147+L147+M147)</f>
        <v/>
      </c>
      <c r="O147" s="18">
        <f>IF('Shipment Data'!A147="","",'Shipment Data'!L147)</f>
        <v/>
      </c>
      <c r="P147" s="19">
        <f>IF('Shipment Data'!A147="","",O147-N147)</f>
        <v/>
      </c>
      <c r="Q147" s="6">
        <f>IF('Shipment Data'!A147="","",IF(P147&gt;1,"OVERCHARGED",IF(P147&lt;-1,"UNDERBILLED","MATCH")))</f>
        <v/>
      </c>
    </row>
    <row r="148">
      <c r="A148" s="15">
        <f>IF('Shipment Data'!A148="","",'Shipment Data'!A148)</f>
        <v/>
      </c>
      <c r="B148" s="15">
        <f>IF('Shipment Data'!A148="","",'Shipment Data'!C148)</f>
        <v/>
      </c>
      <c r="C148" s="15">
        <f>IF('Shipment Data'!A148="","",'Shipment Data'!D148)</f>
        <v/>
      </c>
      <c r="D148" s="15">
        <f>IF('Shipment Data'!A148="","",'Shipment Data'!J148)</f>
        <v/>
      </c>
      <c r="E148" s="16">
        <f>IF('Shipment Data'!A148="","",'Shipment Data'!F148)</f>
        <v/>
      </c>
      <c r="F148" s="17">
        <f>IF('Shipment Data'!A148="","",('Shipment Data'!G148*'Shipment Data'!H148*'Shipment Data'!I148)/5000)</f>
        <v/>
      </c>
      <c r="G148" s="17">
        <f>IF('Shipment Data'!A148="","",CEILING(MAX(E148,F148),0.5))</f>
        <v/>
      </c>
      <c r="H148" s="16">
        <f>IF('Shipment Data'!A148="","",'Shipment Data'!K148)</f>
        <v/>
      </c>
      <c r="I148" s="6">
        <f>IF('Shipment Data'!A148="","",IF(H148&gt;G148,"COURIER OVER-ROUNDED WEIGHT","OK"))</f>
        <v/>
      </c>
      <c r="J148" s="18">
        <f>IF('Shipment Data'!A148="","",INDEX('Rate Card'!$D$4:$D$8,MATCH(B148,'Rate Card'!$A$4:$A$8,0)))</f>
        <v/>
      </c>
      <c r="K148" s="18">
        <f>IF('Shipment Data'!A148="","",ROUND((G148-INDEX('Rate Card'!$C$4:$C$8,MATCH(B148,'Rate Card'!$A$4:$A$8,0)))/0.5,0)*INDEX('Rate Card'!$E$4:$E$8,MATCH(B148,'Rate Card'!$A$4:$A$8,0)))</f>
        <v/>
      </c>
      <c r="L148" s="18">
        <f>IF('Shipment Data'!A148="","",IF(C148="COD",MAX('Shipment Data'!E148*INDEX('Rate Card'!$F$4:$F$8,MATCH(B148,'Rate Card'!$A$4:$A$8,0)),INDEX('Rate Card'!$G$4:$G$8,MATCH(B148,'Rate Card'!$A$4:$A$8,0))),0))</f>
        <v/>
      </c>
      <c r="M148" s="18">
        <f>IF('Shipment Data'!A148="","",IF(D148="RTO",(J148+K148)*INDEX('Rate Card'!$H$4:$H$8,MATCH(B148,'Rate Card'!$A$4:$A$8,0)),0))</f>
        <v/>
      </c>
      <c r="N148" s="19">
        <f>IF('Shipment Data'!A148="","",J148+K148+L148+M148)</f>
        <v/>
      </c>
      <c r="O148" s="18">
        <f>IF('Shipment Data'!A148="","",'Shipment Data'!L148)</f>
        <v/>
      </c>
      <c r="P148" s="19">
        <f>IF('Shipment Data'!A148="","",O148-N148)</f>
        <v/>
      </c>
      <c r="Q148" s="6">
        <f>IF('Shipment Data'!A148="","",IF(P148&gt;1,"OVERCHARGED",IF(P148&lt;-1,"UNDERBILLED","MATCH")))</f>
        <v/>
      </c>
    </row>
    <row r="149">
      <c r="A149" s="15">
        <f>IF('Shipment Data'!A149="","",'Shipment Data'!A149)</f>
        <v/>
      </c>
      <c r="B149" s="15">
        <f>IF('Shipment Data'!A149="","",'Shipment Data'!C149)</f>
        <v/>
      </c>
      <c r="C149" s="15">
        <f>IF('Shipment Data'!A149="","",'Shipment Data'!D149)</f>
        <v/>
      </c>
      <c r="D149" s="15">
        <f>IF('Shipment Data'!A149="","",'Shipment Data'!J149)</f>
        <v/>
      </c>
      <c r="E149" s="16">
        <f>IF('Shipment Data'!A149="","",'Shipment Data'!F149)</f>
        <v/>
      </c>
      <c r="F149" s="17">
        <f>IF('Shipment Data'!A149="","",('Shipment Data'!G149*'Shipment Data'!H149*'Shipment Data'!I149)/5000)</f>
        <v/>
      </c>
      <c r="G149" s="17">
        <f>IF('Shipment Data'!A149="","",CEILING(MAX(E149,F149),0.5))</f>
        <v/>
      </c>
      <c r="H149" s="16">
        <f>IF('Shipment Data'!A149="","",'Shipment Data'!K149)</f>
        <v/>
      </c>
      <c r="I149" s="6">
        <f>IF('Shipment Data'!A149="","",IF(H149&gt;G149,"COURIER OVER-ROUNDED WEIGHT","OK"))</f>
        <v/>
      </c>
      <c r="J149" s="18">
        <f>IF('Shipment Data'!A149="","",INDEX('Rate Card'!$D$4:$D$8,MATCH(B149,'Rate Card'!$A$4:$A$8,0)))</f>
        <v/>
      </c>
      <c r="K149" s="18">
        <f>IF('Shipment Data'!A149="","",ROUND((G149-INDEX('Rate Card'!$C$4:$C$8,MATCH(B149,'Rate Card'!$A$4:$A$8,0)))/0.5,0)*INDEX('Rate Card'!$E$4:$E$8,MATCH(B149,'Rate Card'!$A$4:$A$8,0)))</f>
        <v/>
      </c>
      <c r="L149" s="18">
        <f>IF('Shipment Data'!A149="","",IF(C149="COD",MAX('Shipment Data'!E149*INDEX('Rate Card'!$F$4:$F$8,MATCH(B149,'Rate Card'!$A$4:$A$8,0)),INDEX('Rate Card'!$G$4:$G$8,MATCH(B149,'Rate Card'!$A$4:$A$8,0))),0))</f>
        <v/>
      </c>
      <c r="M149" s="18">
        <f>IF('Shipment Data'!A149="","",IF(D149="RTO",(J149+K149)*INDEX('Rate Card'!$H$4:$H$8,MATCH(B149,'Rate Card'!$A$4:$A$8,0)),0))</f>
        <v/>
      </c>
      <c r="N149" s="19">
        <f>IF('Shipment Data'!A149="","",J149+K149+L149+M149)</f>
        <v/>
      </c>
      <c r="O149" s="18">
        <f>IF('Shipment Data'!A149="","",'Shipment Data'!L149)</f>
        <v/>
      </c>
      <c r="P149" s="19">
        <f>IF('Shipment Data'!A149="","",O149-N149)</f>
        <v/>
      </c>
      <c r="Q149" s="6">
        <f>IF('Shipment Data'!A149="","",IF(P149&gt;1,"OVERCHARGED",IF(P149&lt;-1,"UNDERBILLED","MATCH")))</f>
        <v/>
      </c>
    </row>
    <row r="150">
      <c r="A150" s="15">
        <f>IF('Shipment Data'!A150="","",'Shipment Data'!A150)</f>
        <v/>
      </c>
      <c r="B150" s="15">
        <f>IF('Shipment Data'!A150="","",'Shipment Data'!C150)</f>
        <v/>
      </c>
      <c r="C150" s="15">
        <f>IF('Shipment Data'!A150="","",'Shipment Data'!D150)</f>
        <v/>
      </c>
      <c r="D150" s="15">
        <f>IF('Shipment Data'!A150="","",'Shipment Data'!J150)</f>
        <v/>
      </c>
      <c r="E150" s="16">
        <f>IF('Shipment Data'!A150="","",'Shipment Data'!F150)</f>
        <v/>
      </c>
      <c r="F150" s="17">
        <f>IF('Shipment Data'!A150="","",('Shipment Data'!G150*'Shipment Data'!H150*'Shipment Data'!I150)/5000)</f>
        <v/>
      </c>
      <c r="G150" s="17">
        <f>IF('Shipment Data'!A150="","",CEILING(MAX(E150,F150),0.5))</f>
        <v/>
      </c>
      <c r="H150" s="16">
        <f>IF('Shipment Data'!A150="","",'Shipment Data'!K150)</f>
        <v/>
      </c>
      <c r="I150" s="6">
        <f>IF('Shipment Data'!A150="","",IF(H150&gt;G150,"COURIER OVER-ROUNDED WEIGHT","OK"))</f>
        <v/>
      </c>
      <c r="J150" s="18">
        <f>IF('Shipment Data'!A150="","",INDEX('Rate Card'!$D$4:$D$8,MATCH(B150,'Rate Card'!$A$4:$A$8,0)))</f>
        <v/>
      </c>
      <c r="K150" s="18">
        <f>IF('Shipment Data'!A150="","",ROUND((G150-INDEX('Rate Card'!$C$4:$C$8,MATCH(B150,'Rate Card'!$A$4:$A$8,0)))/0.5,0)*INDEX('Rate Card'!$E$4:$E$8,MATCH(B150,'Rate Card'!$A$4:$A$8,0)))</f>
        <v/>
      </c>
      <c r="L150" s="18">
        <f>IF('Shipment Data'!A150="","",IF(C150="COD",MAX('Shipment Data'!E150*INDEX('Rate Card'!$F$4:$F$8,MATCH(B150,'Rate Card'!$A$4:$A$8,0)),INDEX('Rate Card'!$G$4:$G$8,MATCH(B150,'Rate Card'!$A$4:$A$8,0))),0))</f>
        <v/>
      </c>
      <c r="M150" s="18">
        <f>IF('Shipment Data'!A150="","",IF(D150="RTO",(J150+K150)*INDEX('Rate Card'!$H$4:$H$8,MATCH(B150,'Rate Card'!$A$4:$A$8,0)),0))</f>
        <v/>
      </c>
      <c r="N150" s="19">
        <f>IF('Shipment Data'!A150="","",J150+K150+L150+M150)</f>
        <v/>
      </c>
      <c r="O150" s="18">
        <f>IF('Shipment Data'!A150="","",'Shipment Data'!L150)</f>
        <v/>
      </c>
      <c r="P150" s="19">
        <f>IF('Shipment Data'!A150="","",O150-N150)</f>
        <v/>
      </c>
      <c r="Q150" s="6">
        <f>IF('Shipment Data'!A150="","",IF(P150&gt;1,"OVERCHARGED",IF(P150&lt;-1,"UNDERBILLED","MATCH")))</f>
        <v/>
      </c>
    </row>
    <row r="151">
      <c r="A151" s="15">
        <f>IF('Shipment Data'!A151="","",'Shipment Data'!A151)</f>
        <v/>
      </c>
      <c r="B151" s="15">
        <f>IF('Shipment Data'!A151="","",'Shipment Data'!C151)</f>
        <v/>
      </c>
      <c r="C151" s="15">
        <f>IF('Shipment Data'!A151="","",'Shipment Data'!D151)</f>
        <v/>
      </c>
      <c r="D151" s="15">
        <f>IF('Shipment Data'!A151="","",'Shipment Data'!J151)</f>
        <v/>
      </c>
      <c r="E151" s="16">
        <f>IF('Shipment Data'!A151="","",'Shipment Data'!F151)</f>
        <v/>
      </c>
      <c r="F151" s="17">
        <f>IF('Shipment Data'!A151="","",('Shipment Data'!G151*'Shipment Data'!H151*'Shipment Data'!I151)/5000)</f>
        <v/>
      </c>
      <c r="G151" s="17">
        <f>IF('Shipment Data'!A151="","",CEILING(MAX(E151,F151),0.5))</f>
        <v/>
      </c>
      <c r="H151" s="16">
        <f>IF('Shipment Data'!A151="","",'Shipment Data'!K151)</f>
        <v/>
      </c>
      <c r="I151" s="6">
        <f>IF('Shipment Data'!A151="","",IF(H151&gt;G151,"COURIER OVER-ROUNDED WEIGHT","OK"))</f>
        <v/>
      </c>
      <c r="J151" s="18">
        <f>IF('Shipment Data'!A151="","",INDEX('Rate Card'!$D$4:$D$8,MATCH(B151,'Rate Card'!$A$4:$A$8,0)))</f>
        <v/>
      </c>
      <c r="K151" s="18">
        <f>IF('Shipment Data'!A151="","",ROUND((G151-INDEX('Rate Card'!$C$4:$C$8,MATCH(B151,'Rate Card'!$A$4:$A$8,0)))/0.5,0)*INDEX('Rate Card'!$E$4:$E$8,MATCH(B151,'Rate Card'!$A$4:$A$8,0)))</f>
        <v/>
      </c>
      <c r="L151" s="18">
        <f>IF('Shipment Data'!A151="","",IF(C151="COD",MAX('Shipment Data'!E151*INDEX('Rate Card'!$F$4:$F$8,MATCH(B151,'Rate Card'!$A$4:$A$8,0)),INDEX('Rate Card'!$G$4:$G$8,MATCH(B151,'Rate Card'!$A$4:$A$8,0))),0))</f>
        <v/>
      </c>
      <c r="M151" s="18">
        <f>IF('Shipment Data'!A151="","",IF(D151="RTO",(J151+K151)*INDEX('Rate Card'!$H$4:$H$8,MATCH(B151,'Rate Card'!$A$4:$A$8,0)),0))</f>
        <v/>
      </c>
      <c r="N151" s="19">
        <f>IF('Shipment Data'!A151="","",J151+K151+L151+M151)</f>
        <v/>
      </c>
      <c r="O151" s="18">
        <f>IF('Shipment Data'!A151="","",'Shipment Data'!L151)</f>
        <v/>
      </c>
      <c r="P151" s="19">
        <f>IF('Shipment Data'!A151="","",O151-N151)</f>
        <v/>
      </c>
      <c r="Q151" s="6">
        <f>IF('Shipment Data'!A151="","",IF(P151&gt;1,"OVERCHARGED",IF(P151&lt;-1,"UNDERBILLED","MATCH")))</f>
        <v/>
      </c>
    </row>
    <row r="152">
      <c r="A152" s="15">
        <f>IF('Shipment Data'!A152="","",'Shipment Data'!A152)</f>
        <v/>
      </c>
      <c r="B152" s="15">
        <f>IF('Shipment Data'!A152="","",'Shipment Data'!C152)</f>
        <v/>
      </c>
      <c r="C152" s="15">
        <f>IF('Shipment Data'!A152="","",'Shipment Data'!D152)</f>
        <v/>
      </c>
      <c r="D152" s="15">
        <f>IF('Shipment Data'!A152="","",'Shipment Data'!J152)</f>
        <v/>
      </c>
      <c r="E152" s="16">
        <f>IF('Shipment Data'!A152="","",'Shipment Data'!F152)</f>
        <v/>
      </c>
      <c r="F152" s="17">
        <f>IF('Shipment Data'!A152="","",('Shipment Data'!G152*'Shipment Data'!H152*'Shipment Data'!I152)/5000)</f>
        <v/>
      </c>
      <c r="G152" s="17">
        <f>IF('Shipment Data'!A152="","",CEILING(MAX(E152,F152),0.5))</f>
        <v/>
      </c>
      <c r="H152" s="16">
        <f>IF('Shipment Data'!A152="","",'Shipment Data'!K152)</f>
        <v/>
      </c>
      <c r="I152" s="6">
        <f>IF('Shipment Data'!A152="","",IF(H152&gt;G152,"COURIER OVER-ROUNDED WEIGHT","OK"))</f>
        <v/>
      </c>
      <c r="J152" s="18">
        <f>IF('Shipment Data'!A152="","",INDEX('Rate Card'!$D$4:$D$8,MATCH(B152,'Rate Card'!$A$4:$A$8,0)))</f>
        <v/>
      </c>
      <c r="K152" s="18">
        <f>IF('Shipment Data'!A152="","",ROUND((G152-INDEX('Rate Card'!$C$4:$C$8,MATCH(B152,'Rate Card'!$A$4:$A$8,0)))/0.5,0)*INDEX('Rate Card'!$E$4:$E$8,MATCH(B152,'Rate Card'!$A$4:$A$8,0)))</f>
        <v/>
      </c>
      <c r="L152" s="18">
        <f>IF('Shipment Data'!A152="","",IF(C152="COD",MAX('Shipment Data'!E152*INDEX('Rate Card'!$F$4:$F$8,MATCH(B152,'Rate Card'!$A$4:$A$8,0)),INDEX('Rate Card'!$G$4:$G$8,MATCH(B152,'Rate Card'!$A$4:$A$8,0))),0))</f>
        <v/>
      </c>
      <c r="M152" s="18">
        <f>IF('Shipment Data'!A152="","",IF(D152="RTO",(J152+K152)*INDEX('Rate Card'!$H$4:$H$8,MATCH(B152,'Rate Card'!$A$4:$A$8,0)),0))</f>
        <v/>
      </c>
      <c r="N152" s="19">
        <f>IF('Shipment Data'!A152="","",J152+K152+L152+M152)</f>
        <v/>
      </c>
      <c r="O152" s="18">
        <f>IF('Shipment Data'!A152="","",'Shipment Data'!L152)</f>
        <v/>
      </c>
      <c r="P152" s="19">
        <f>IF('Shipment Data'!A152="","",O152-N152)</f>
        <v/>
      </c>
      <c r="Q152" s="6">
        <f>IF('Shipment Data'!A152="","",IF(P152&gt;1,"OVERCHARGED",IF(P152&lt;-1,"UNDERBILLED","MATCH")))</f>
        <v/>
      </c>
    </row>
    <row r="153">
      <c r="A153" s="15">
        <f>IF('Shipment Data'!A153="","",'Shipment Data'!A153)</f>
        <v/>
      </c>
      <c r="B153" s="15">
        <f>IF('Shipment Data'!A153="","",'Shipment Data'!C153)</f>
        <v/>
      </c>
      <c r="C153" s="15">
        <f>IF('Shipment Data'!A153="","",'Shipment Data'!D153)</f>
        <v/>
      </c>
      <c r="D153" s="15">
        <f>IF('Shipment Data'!A153="","",'Shipment Data'!J153)</f>
        <v/>
      </c>
      <c r="E153" s="16">
        <f>IF('Shipment Data'!A153="","",'Shipment Data'!F153)</f>
        <v/>
      </c>
      <c r="F153" s="17">
        <f>IF('Shipment Data'!A153="","",('Shipment Data'!G153*'Shipment Data'!H153*'Shipment Data'!I153)/5000)</f>
        <v/>
      </c>
      <c r="G153" s="17">
        <f>IF('Shipment Data'!A153="","",CEILING(MAX(E153,F153),0.5))</f>
        <v/>
      </c>
      <c r="H153" s="16">
        <f>IF('Shipment Data'!A153="","",'Shipment Data'!K153)</f>
        <v/>
      </c>
      <c r="I153" s="6">
        <f>IF('Shipment Data'!A153="","",IF(H153&gt;G153,"COURIER OVER-ROUNDED WEIGHT","OK"))</f>
        <v/>
      </c>
      <c r="J153" s="18">
        <f>IF('Shipment Data'!A153="","",INDEX('Rate Card'!$D$4:$D$8,MATCH(B153,'Rate Card'!$A$4:$A$8,0)))</f>
        <v/>
      </c>
      <c r="K153" s="18">
        <f>IF('Shipment Data'!A153="","",ROUND((G153-INDEX('Rate Card'!$C$4:$C$8,MATCH(B153,'Rate Card'!$A$4:$A$8,0)))/0.5,0)*INDEX('Rate Card'!$E$4:$E$8,MATCH(B153,'Rate Card'!$A$4:$A$8,0)))</f>
        <v/>
      </c>
      <c r="L153" s="18">
        <f>IF('Shipment Data'!A153="","",IF(C153="COD",MAX('Shipment Data'!E153*INDEX('Rate Card'!$F$4:$F$8,MATCH(B153,'Rate Card'!$A$4:$A$8,0)),INDEX('Rate Card'!$G$4:$G$8,MATCH(B153,'Rate Card'!$A$4:$A$8,0))),0))</f>
        <v/>
      </c>
      <c r="M153" s="18">
        <f>IF('Shipment Data'!A153="","",IF(D153="RTO",(J153+K153)*INDEX('Rate Card'!$H$4:$H$8,MATCH(B153,'Rate Card'!$A$4:$A$8,0)),0))</f>
        <v/>
      </c>
      <c r="N153" s="19">
        <f>IF('Shipment Data'!A153="","",J153+K153+L153+M153)</f>
        <v/>
      </c>
      <c r="O153" s="18">
        <f>IF('Shipment Data'!A153="","",'Shipment Data'!L153)</f>
        <v/>
      </c>
      <c r="P153" s="19">
        <f>IF('Shipment Data'!A153="","",O153-N153)</f>
        <v/>
      </c>
      <c r="Q153" s="6">
        <f>IF('Shipment Data'!A153="","",IF(P153&gt;1,"OVERCHARGED",IF(P153&lt;-1,"UNDERBILLED","MATCH")))</f>
        <v/>
      </c>
    </row>
    <row r="154">
      <c r="A154" s="15">
        <f>IF('Shipment Data'!A154="","",'Shipment Data'!A154)</f>
        <v/>
      </c>
      <c r="B154" s="15">
        <f>IF('Shipment Data'!A154="","",'Shipment Data'!C154)</f>
        <v/>
      </c>
      <c r="C154" s="15">
        <f>IF('Shipment Data'!A154="","",'Shipment Data'!D154)</f>
        <v/>
      </c>
      <c r="D154" s="15">
        <f>IF('Shipment Data'!A154="","",'Shipment Data'!J154)</f>
        <v/>
      </c>
      <c r="E154" s="16">
        <f>IF('Shipment Data'!A154="","",'Shipment Data'!F154)</f>
        <v/>
      </c>
      <c r="F154" s="17">
        <f>IF('Shipment Data'!A154="","",('Shipment Data'!G154*'Shipment Data'!H154*'Shipment Data'!I154)/5000)</f>
        <v/>
      </c>
      <c r="G154" s="17">
        <f>IF('Shipment Data'!A154="","",CEILING(MAX(E154,F154),0.5))</f>
        <v/>
      </c>
      <c r="H154" s="16">
        <f>IF('Shipment Data'!A154="","",'Shipment Data'!K154)</f>
        <v/>
      </c>
      <c r="I154" s="6">
        <f>IF('Shipment Data'!A154="","",IF(H154&gt;G154,"COURIER OVER-ROUNDED WEIGHT","OK"))</f>
        <v/>
      </c>
      <c r="J154" s="18">
        <f>IF('Shipment Data'!A154="","",INDEX('Rate Card'!$D$4:$D$8,MATCH(B154,'Rate Card'!$A$4:$A$8,0)))</f>
        <v/>
      </c>
      <c r="K154" s="18">
        <f>IF('Shipment Data'!A154="","",ROUND((G154-INDEX('Rate Card'!$C$4:$C$8,MATCH(B154,'Rate Card'!$A$4:$A$8,0)))/0.5,0)*INDEX('Rate Card'!$E$4:$E$8,MATCH(B154,'Rate Card'!$A$4:$A$8,0)))</f>
        <v/>
      </c>
      <c r="L154" s="18">
        <f>IF('Shipment Data'!A154="","",IF(C154="COD",MAX('Shipment Data'!E154*INDEX('Rate Card'!$F$4:$F$8,MATCH(B154,'Rate Card'!$A$4:$A$8,0)),INDEX('Rate Card'!$G$4:$G$8,MATCH(B154,'Rate Card'!$A$4:$A$8,0))),0))</f>
        <v/>
      </c>
      <c r="M154" s="18">
        <f>IF('Shipment Data'!A154="","",IF(D154="RTO",(J154+K154)*INDEX('Rate Card'!$H$4:$H$8,MATCH(B154,'Rate Card'!$A$4:$A$8,0)),0))</f>
        <v/>
      </c>
      <c r="N154" s="19">
        <f>IF('Shipment Data'!A154="","",J154+K154+L154+M154)</f>
        <v/>
      </c>
      <c r="O154" s="18">
        <f>IF('Shipment Data'!A154="","",'Shipment Data'!L154)</f>
        <v/>
      </c>
      <c r="P154" s="19">
        <f>IF('Shipment Data'!A154="","",O154-N154)</f>
        <v/>
      </c>
      <c r="Q154" s="6">
        <f>IF('Shipment Data'!A154="","",IF(P154&gt;1,"OVERCHARGED",IF(P154&lt;-1,"UNDERBILLED","MATCH")))</f>
        <v/>
      </c>
    </row>
    <row r="155">
      <c r="A155" s="15">
        <f>IF('Shipment Data'!A155="","",'Shipment Data'!A155)</f>
        <v/>
      </c>
      <c r="B155" s="15">
        <f>IF('Shipment Data'!A155="","",'Shipment Data'!C155)</f>
        <v/>
      </c>
      <c r="C155" s="15">
        <f>IF('Shipment Data'!A155="","",'Shipment Data'!D155)</f>
        <v/>
      </c>
      <c r="D155" s="15">
        <f>IF('Shipment Data'!A155="","",'Shipment Data'!J155)</f>
        <v/>
      </c>
      <c r="E155" s="16">
        <f>IF('Shipment Data'!A155="","",'Shipment Data'!F155)</f>
        <v/>
      </c>
      <c r="F155" s="17">
        <f>IF('Shipment Data'!A155="","",('Shipment Data'!G155*'Shipment Data'!H155*'Shipment Data'!I155)/5000)</f>
        <v/>
      </c>
      <c r="G155" s="17">
        <f>IF('Shipment Data'!A155="","",CEILING(MAX(E155,F155),0.5))</f>
        <v/>
      </c>
      <c r="H155" s="16">
        <f>IF('Shipment Data'!A155="","",'Shipment Data'!K155)</f>
        <v/>
      </c>
      <c r="I155" s="6">
        <f>IF('Shipment Data'!A155="","",IF(H155&gt;G155,"COURIER OVER-ROUNDED WEIGHT","OK"))</f>
        <v/>
      </c>
      <c r="J155" s="18">
        <f>IF('Shipment Data'!A155="","",INDEX('Rate Card'!$D$4:$D$8,MATCH(B155,'Rate Card'!$A$4:$A$8,0)))</f>
        <v/>
      </c>
      <c r="K155" s="18">
        <f>IF('Shipment Data'!A155="","",ROUND((G155-INDEX('Rate Card'!$C$4:$C$8,MATCH(B155,'Rate Card'!$A$4:$A$8,0)))/0.5,0)*INDEX('Rate Card'!$E$4:$E$8,MATCH(B155,'Rate Card'!$A$4:$A$8,0)))</f>
        <v/>
      </c>
      <c r="L155" s="18">
        <f>IF('Shipment Data'!A155="","",IF(C155="COD",MAX('Shipment Data'!E155*INDEX('Rate Card'!$F$4:$F$8,MATCH(B155,'Rate Card'!$A$4:$A$8,0)),INDEX('Rate Card'!$G$4:$G$8,MATCH(B155,'Rate Card'!$A$4:$A$8,0))),0))</f>
        <v/>
      </c>
      <c r="M155" s="18">
        <f>IF('Shipment Data'!A155="","",IF(D155="RTO",(J155+K155)*INDEX('Rate Card'!$H$4:$H$8,MATCH(B155,'Rate Card'!$A$4:$A$8,0)),0))</f>
        <v/>
      </c>
      <c r="N155" s="19">
        <f>IF('Shipment Data'!A155="","",J155+K155+L155+M155)</f>
        <v/>
      </c>
      <c r="O155" s="18">
        <f>IF('Shipment Data'!A155="","",'Shipment Data'!L155)</f>
        <v/>
      </c>
      <c r="P155" s="19">
        <f>IF('Shipment Data'!A155="","",O155-N155)</f>
        <v/>
      </c>
      <c r="Q155" s="6">
        <f>IF('Shipment Data'!A155="","",IF(P155&gt;1,"OVERCHARGED",IF(P155&lt;-1,"UNDERBILLED","MATCH")))</f>
        <v/>
      </c>
    </row>
    <row r="156">
      <c r="A156" s="15">
        <f>IF('Shipment Data'!A156="","",'Shipment Data'!A156)</f>
        <v/>
      </c>
      <c r="B156" s="15">
        <f>IF('Shipment Data'!A156="","",'Shipment Data'!C156)</f>
        <v/>
      </c>
      <c r="C156" s="15">
        <f>IF('Shipment Data'!A156="","",'Shipment Data'!D156)</f>
        <v/>
      </c>
      <c r="D156" s="15">
        <f>IF('Shipment Data'!A156="","",'Shipment Data'!J156)</f>
        <v/>
      </c>
      <c r="E156" s="16">
        <f>IF('Shipment Data'!A156="","",'Shipment Data'!F156)</f>
        <v/>
      </c>
      <c r="F156" s="17">
        <f>IF('Shipment Data'!A156="","",('Shipment Data'!G156*'Shipment Data'!H156*'Shipment Data'!I156)/5000)</f>
        <v/>
      </c>
      <c r="G156" s="17">
        <f>IF('Shipment Data'!A156="","",CEILING(MAX(E156,F156),0.5))</f>
        <v/>
      </c>
      <c r="H156" s="16">
        <f>IF('Shipment Data'!A156="","",'Shipment Data'!K156)</f>
        <v/>
      </c>
      <c r="I156" s="6">
        <f>IF('Shipment Data'!A156="","",IF(H156&gt;G156,"COURIER OVER-ROUNDED WEIGHT","OK"))</f>
        <v/>
      </c>
      <c r="J156" s="18">
        <f>IF('Shipment Data'!A156="","",INDEX('Rate Card'!$D$4:$D$8,MATCH(B156,'Rate Card'!$A$4:$A$8,0)))</f>
        <v/>
      </c>
      <c r="K156" s="18">
        <f>IF('Shipment Data'!A156="","",ROUND((G156-INDEX('Rate Card'!$C$4:$C$8,MATCH(B156,'Rate Card'!$A$4:$A$8,0)))/0.5,0)*INDEX('Rate Card'!$E$4:$E$8,MATCH(B156,'Rate Card'!$A$4:$A$8,0)))</f>
        <v/>
      </c>
      <c r="L156" s="18">
        <f>IF('Shipment Data'!A156="","",IF(C156="COD",MAX('Shipment Data'!E156*INDEX('Rate Card'!$F$4:$F$8,MATCH(B156,'Rate Card'!$A$4:$A$8,0)),INDEX('Rate Card'!$G$4:$G$8,MATCH(B156,'Rate Card'!$A$4:$A$8,0))),0))</f>
        <v/>
      </c>
      <c r="M156" s="18">
        <f>IF('Shipment Data'!A156="","",IF(D156="RTO",(J156+K156)*INDEX('Rate Card'!$H$4:$H$8,MATCH(B156,'Rate Card'!$A$4:$A$8,0)),0))</f>
        <v/>
      </c>
      <c r="N156" s="19">
        <f>IF('Shipment Data'!A156="","",J156+K156+L156+M156)</f>
        <v/>
      </c>
      <c r="O156" s="18">
        <f>IF('Shipment Data'!A156="","",'Shipment Data'!L156)</f>
        <v/>
      </c>
      <c r="P156" s="19">
        <f>IF('Shipment Data'!A156="","",O156-N156)</f>
        <v/>
      </c>
      <c r="Q156" s="6">
        <f>IF('Shipment Data'!A156="","",IF(P156&gt;1,"OVERCHARGED",IF(P156&lt;-1,"UNDERBILLED","MATCH")))</f>
        <v/>
      </c>
    </row>
    <row r="157">
      <c r="A157" s="15">
        <f>IF('Shipment Data'!A157="","",'Shipment Data'!A157)</f>
        <v/>
      </c>
      <c r="B157" s="15">
        <f>IF('Shipment Data'!A157="","",'Shipment Data'!C157)</f>
        <v/>
      </c>
      <c r="C157" s="15">
        <f>IF('Shipment Data'!A157="","",'Shipment Data'!D157)</f>
        <v/>
      </c>
      <c r="D157" s="15">
        <f>IF('Shipment Data'!A157="","",'Shipment Data'!J157)</f>
        <v/>
      </c>
      <c r="E157" s="16">
        <f>IF('Shipment Data'!A157="","",'Shipment Data'!F157)</f>
        <v/>
      </c>
      <c r="F157" s="17">
        <f>IF('Shipment Data'!A157="","",('Shipment Data'!G157*'Shipment Data'!H157*'Shipment Data'!I157)/5000)</f>
        <v/>
      </c>
      <c r="G157" s="17">
        <f>IF('Shipment Data'!A157="","",CEILING(MAX(E157,F157),0.5))</f>
        <v/>
      </c>
      <c r="H157" s="16">
        <f>IF('Shipment Data'!A157="","",'Shipment Data'!K157)</f>
        <v/>
      </c>
      <c r="I157" s="6">
        <f>IF('Shipment Data'!A157="","",IF(H157&gt;G157,"COURIER OVER-ROUNDED WEIGHT","OK"))</f>
        <v/>
      </c>
      <c r="J157" s="18">
        <f>IF('Shipment Data'!A157="","",INDEX('Rate Card'!$D$4:$D$8,MATCH(B157,'Rate Card'!$A$4:$A$8,0)))</f>
        <v/>
      </c>
      <c r="K157" s="18">
        <f>IF('Shipment Data'!A157="","",ROUND((G157-INDEX('Rate Card'!$C$4:$C$8,MATCH(B157,'Rate Card'!$A$4:$A$8,0)))/0.5,0)*INDEX('Rate Card'!$E$4:$E$8,MATCH(B157,'Rate Card'!$A$4:$A$8,0)))</f>
        <v/>
      </c>
      <c r="L157" s="18">
        <f>IF('Shipment Data'!A157="","",IF(C157="COD",MAX('Shipment Data'!E157*INDEX('Rate Card'!$F$4:$F$8,MATCH(B157,'Rate Card'!$A$4:$A$8,0)),INDEX('Rate Card'!$G$4:$G$8,MATCH(B157,'Rate Card'!$A$4:$A$8,0))),0))</f>
        <v/>
      </c>
      <c r="M157" s="18">
        <f>IF('Shipment Data'!A157="","",IF(D157="RTO",(J157+K157)*INDEX('Rate Card'!$H$4:$H$8,MATCH(B157,'Rate Card'!$A$4:$A$8,0)),0))</f>
        <v/>
      </c>
      <c r="N157" s="19">
        <f>IF('Shipment Data'!A157="","",J157+K157+L157+M157)</f>
        <v/>
      </c>
      <c r="O157" s="18">
        <f>IF('Shipment Data'!A157="","",'Shipment Data'!L157)</f>
        <v/>
      </c>
      <c r="P157" s="19">
        <f>IF('Shipment Data'!A157="","",O157-N157)</f>
        <v/>
      </c>
      <c r="Q157" s="6">
        <f>IF('Shipment Data'!A157="","",IF(P157&gt;1,"OVERCHARGED",IF(P157&lt;-1,"UNDERBILLED","MATCH")))</f>
        <v/>
      </c>
    </row>
    <row r="158">
      <c r="A158" s="15">
        <f>IF('Shipment Data'!A158="","",'Shipment Data'!A158)</f>
        <v/>
      </c>
      <c r="B158" s="15">
        <f>IF('Shipment Data'!A158="","",'Shipment Data'!C158)</f>
        <v/>
      </c>
      <c r="C158" s="15">
        <f>IF('Shipment Data'!A158="","",'Shipment Data'!D158)</f>
        <v/>
      </c>
      <c r="D158" s="15">
        <f>IF('Shipment Data'!A158="","",'Shipment Data'!J158)</f>
        <v/>
      </c>
      <c r="E158" s="16">
        <f>IF('Shipment Data'!A158="","",'Shipment Data'!F158)</f>
        <v/>
      </c>
      <c r="F158" s="17">
        <f>IF('Shipment Data'!A158="","",('Shipment Data'!G158*'Shipment Data'!H158*'Shipment Data'!I158)/5000)</f>
        <v/>
      </c>
      <c r="G158" s="17">
        <f>IF('Shipment Data'!A158="","",CEILING(MAX(E158,F158),0.5))</f>
        <v/>
      </c>
      <c r="H158" s="16">
        <f>IF('Shipment Data'!A158="","",'Shipment Data'!K158)</f>
        <v/>
      </c>
      <c r="I158" s="6">
        <f>IF('Shipment Data'!A158="","",IF(H158&gt;G158,"COURIER OVER-ROUNDED WEIGHT","OK"))</f>
        <v/>
      </c>
      <c r="J158" s="18">
        <f>IF('Shipment Data'!A158="","",INDEX('Rate Card'!$D$4:$D$8,MATCH(B158,'Rate Card'!$A$4:$A$8,0)))</f>
        <v/>
      </c>
      <c r="K158" s="18">
        <f>IF('Shipment Data'!A158="","",ROUND((G158-INDEX('Rate Card'!$C$4:$C$8,MATCH(B158,'Rate Card'!$A$4:$A$8,0)))/0.5,0)*INDEX('Rate Card'!$E$4:$E$8,MATCH(B158,'Rate Card'!$A$4:$A$8,0)))</f>
        <v/>
      </c>
      <c r="L158" s="18">
        <f>IF('Shipment Data'!A158="","",IF(C158="COD",MAX('Shipment Data'!E158*INDEX('Rate Card'!$F$4:$F$8,MATCH(B158,'Rate Card'!$A$4:$A$8,0)),INDEX('Rate Card'!$G$4:$G$8,MATCH(B158,'Rate Card'!$A$4:$A$8,0))),0))</f>
        <v/>
      </c>
      <c r="M158" s="18">
        <f>IF('Shipment Data'!A158="","",IF(D158="RTO",(J158+K158)*INDEX('Rate Card'!$H$4:$H$8,MATCH(B158,'Rate Card'!$A$4:$A$8,0)),0))</f>
        <v/>
      </c>
      <c r="N158" s="19">
        <f>IF('Shipment Data'!A158="","",J158+K158+L158+M158)</f>
        <v/>
      </c>
      <c r="O158" s="18">
        <f>IF('Shipment Data'!A158="","",'Shipment Data'!L158)</f>
        <v/>
      </c>
      <c r="P158" s="19">
        <f>IF('Shipment Data'!A158="","",O158-N158)</f>
        <v/>
      </c>
      <c r="Q158" s="6">
        <f>IF('Shipment Data'!A158="","",IF(P158&gt;1,"OVERCHARGED",IF(P158&lt;-1,"UNDERBILLED","MATCH")))</f>
        <v/>
      </c>
    </row>
    <row r="159">
      <c r="A159" s="15">
        <f>IF('Shipment Data'!A159="","",'Shipment Data'!A159)</f>
        <v/>
      </c>
      <c r="B159" s="15">
        <f>IF('Shipment Data'!A159="","",'Shipment Data'!C159)</f>
        <v/>
      </c>
      <c r="C159" s="15">
        <f>IF('Shipment Data'!A159="","",'Shipment Data'!D159)</f>
        <v/>
      </c>
      <c r="D159" s="15">
        <f>IF('Shipment Data'!A159="","",'Shipment Data'!J159)</f>
        <v/>
      </c>
      <c r="E159" s="16">
        <f>IF('Shipment Data'!A159="","",'Shipment Data'!F159)</f>
        <v/>
      </c>
      <c r="F159" s="17">
        <f>IF('Shipment Data'!A159="","",('Shipment Data'!G159*'Shipment Data'!H159*'Shipment Data'!I159)/5000)</f>
        <v/>
      </c>
      <c r="G159" s="17">
        <f>IF('Shipment Data'!A159="","",CEILING(MAX(E159,F159),0.5))</f>
        <v/>
      </c>
      <c r="H159" s="16">
        <f>IF('Shipment Data'!A159="","",'Shipment Data'!K159)</f>
        <v/>
      </c>
      <c r="I159" s="6">
        <f>IF('Shipment Data'!A159="","",IF(H159&gt;G159,"COURIER OVER-ROUNDED WEIGHT","OK"))</f>
        <v/>
      </c>
      <c r="J159" s="18">
        <f>IF('Shipment Data'!A159="","",INDEX('Rate Card'!$D$4:$D$8,MATCH(B159,'Rate Card'!$A$4:$A$8,0)))</f>
        <v/>
      </c>
      <c r="K159" s="18">
        <f>IF('Shipment Data'!A159="","",ROUND((G159-INDEX('Rate Card'!$C$4:$C$8,MATCH(B159,'Rate Card'!$A$4:$A$8,0)))/0.5,0)*INDEX('Rate Card'!$E$4:$E$8,MATCH(B159,'Rate Card'!$A$4:$A$8,0)))</f>
        <v/>
      </c>
      <c r="L159" s="18">
        <f>IF('Shipment Data'!A159="","",IF(C159="COD",MAX('Shipment Data'!E159*INDEX('Rate Card'!$F$4:$F$8,MATCH(B159,'Rate Card'!$A$4:$A$8,0)),INDEX('Rate Card'!$G$4:$G$8,MATCH(B159,'Rate Card'!$A$4:$A$8,0))),0))</f>
        <v/>
      </c>
      <c r="M159" s="18">
        <f>IF('Shipment Data'!A159="","",IF(D159="RTO",(J159+K159)*INDEX('Rate Card'!$H$4:$H$8,MATCH(B159,'Rate Card'!$A$4:$A$8,0)),0))</f>
        <v/>
      </c>
      <c r="N159" s="19">
        <f>IF('Shipment Data'!A159="","",J159+K159+L159+M159)</f>
        <v/>
      </c>
      <c r="O159" s="18">
        <f>IF('Shipment Data'!A159="","",'Shipment Data'!L159)</f>
        <v/>
      </c>
      <c r="P159" s="19">
        <f>IF('Shipment Data'!A159="","",O159-N159)</f>
        <v/>
      </c>
      <c r="Q159" s="6">
        <f>IF('Shipment Data'!A159="","",IF(P159&gt;1,"OVERCHARGED",IF(P159&lt;-1,"UNDERBILLED","MATCH")))</f>
        <v/>
      </c>
    </row>
    <row r="160">
      <c r="A160" s="15">
        <f>IF('Shipment Data'!A160="","",'Shipment Data'!A160)</f>
        <v/>
      </c>
      <c r="B160" s="15">
        <f>IF('Shipment Data'!A160="","",'Shipment Data'!C160)</f>
        <v/>
      </c>
      <c r="C160" s="15">
        <f>IF('Shipment Data'!A160="","",'Shipment Data'!D160)</f>
        <v/>
      </c>
      <c r="D160" s="15">
        <f>IF('Shipment Data'!A160="","",'Shipment Data'!J160)</f>
        <v/>
      </c>
      <c r="E160" s="16">
        <f>IF('Shipment Data'!A160="","",'Shipment Data'!F160)</f>
        <v/>
      </c>
      <c r="F160" s="17">
        <f>IF('Shipment Data'!A160="","",('Shipment Data'!G160*'Shipment Data'!H160*'Shipment Data'!I160)/5000)</f>
        <v/>
      </c>
      <c r="G160" s="17">
        <f>IF('Shipment Data'!A160="","",CEILING(MAX(E160,F160),0.5))</f>
        <v/>
      </c>
      <c r="H160" s="16">
        <f>IF('Shipment Data'!A160="","",'Shipment Data'!K160)</f>
        <v/>
      </c>
      <c r="I160" s="6">
        <f>IF('Shipment Data'!A160="","",IF(H160&gt;G160,"COURIER OVER-ROUNDED WEIGHT","OK"))</f>
        <v/>
      </c>
      <c r="J160" s="18">
        <f>IF('Shipment Data'!A160="","",INDEX('Rate Card'!$D$4:$D$8,MATCH(B160,'Rate Card'!$A$4:$A$8,0)))</f>
        <v/>
      </c>
      <c r="K160" s="18">
        <f>IF('Shipment Data'!A160="","",ROUND((G160-INDEX('Rate Card'!$C$4:$C$8,MATCH(B160,'Rate Card'!$A$4:$A$8,0)))/0.5,0)*INDEX('Rate Card'!$E$4:$E$8,MATCH(B160,'Rate Card'!$A$4:$A$8,0)))</f>
        <v/>
      </c>
      <c r="L160" s="18">
        <f>IF('Shipment Data'!A160="","",IF(C160="COD",MAX('Shipment Data'!E160*INDEX('Rate Card'!$F$4:$F$8,MATCH(B160,'Rate Card'!$A$4:$A$8,0)),INDEX('Rate Card'!$G$4:$G$8,MATCH(B160,'Rate Card'!$A$4:$A$8,0))),0))</f>
        <v/>
      </c>
      <c r="M160" s="18">
        <f>IF('Shipment Data'!A160="","",IF(D160="RTO",(J160+K160)*INDEX('Rate Card'!$H$4:$H$8,MATCH(B160,'Rate Card'!$A$4:$A$8,0)),0))</f>
        <v/>
      </c>
      <c r="N160" s="19">
        <f>IF('Shipment Data'!A160="","",J160+K160+L160+M160)</f>
        <v/>
      </c>
      <c r="O160" s="18">
        <f>IF('Shipment Data'!A160="","",'Shipment Data'!L160)</f>
        <v/>
      </c>
      <c r="P160" s="19">
        <f>IF('Shipment Data'!A160="","",O160-N160)</f>
        <v/>
      </c>
      <c r="Q160" s="6">
        <f>IF('Shipment Data'!A160="","",IF(P160&gt;1,"OVERCHARGED",IF(P160&lt;-1,"UNDERBILLED","MATCH")))</f>
        <v/>
      </c>
    </row>
    <row r="161">
      <c r="A161" s="15">
        <f>IF('Shipment Data'!A161="","",'Shipment Data'!A161)</f>
        <v/>
      </c>
      <c r="B161" s="15">
        <f>IF('Shipment Data'!A161="","",'Shipment Data'!C161)</f>
        <v/>
      </c>
      <c r="C161" s="15">
        <f>IF('Shipment Data'!A161="","",'Shipment Data'!D161)</f>
        <v/>
      </c>
      <c r="D161" s="15">
        <f>IF('Shipment Data'!A161="","",'Shipment Data'!J161)</f>
        <v/>
      </c>
      <c r="E161" s="16">
        <f>IF('Shipment Data'!A161="","",'Shipment Data'!F161)</f>
        <v/>
      </c>
      <c r="F161" s="17">
        <f>IF('Shipment Data'!A161="","",('Shipment Data'!G161*'Shipment Data'!H161*'Shipment Data'!I161)/5000)</f>
        <v/>
      </c>
      <c r="G161" s="17">
        <f>IF('Shipment Data'!A161="","",CEILING(MAX(E161,F161),0.5))</f>
        <v/>
      </c>
      <c r="H161" s="16">
        <f>IF('Shipment Data'!A161="","",'Shipment Data'!K161)</f>
        <v/>
      </c>
      <c r="I161" s="6">
        <f>IF('Shipment Data'!A161="","",IF(H161&gt;G161,"COURIER OVER-ROUNDED WEIGHT","OK"))</f>
        <v/>
      </c>
      <c r="J161" s="18">
        <f>IF('Shipment Data'!A161="","",INDEX('Rate Card'!$D$4:$D$8,MATCH(B161,'Rate Card'!$A$4:$A$8,0)))</f>
        <v/>
      </c>
      <c r="K161" s="18">
        <f>IF('Shipment Data'!A161="","",ROUND((G161-INDEX('Rate Card'!$C$4:$C$8,MATCH(B161,'Rate Card'!$A$4:$A$8,0)))/0.5,0)*INDEX('Rate Card'!$E$4:$E$8,MATCH(B161,'Rate Card'!$A$4:$A$8,0)))</f>
        <v/>
      </c>
      <c r="L161" s="18">
        <f>IF('Shipment Data'!A161="","",IF(C161="COD",MAX('Shipment Data'!E161*INDEX('Rate Card'!$F$4:$F$8,MATCH(B161,'Rate Card'!$A$4:$A$8,0)),INDEX('Rate Card'!$G$4:$G$8,MATCH(B161,'Rate Card'!$A$4:$A$8,0))),0))</f>
        <v/>
      </c>
      <c r="M161" s="18">
        <f>IF('Shipment Data'!A161="","",IF(D161="RTO",(J161+K161)*INDEX('Rate Card'!$H$4:$H$8,MATCH(B161,'Rate Card'!$A$4:$A$8,0)),0))</f>
        <v/>
      </c>
      <c r="N161" s="19">
        <f>IF('Shipment Data'!A161="","",J161+K161+L161+M161)</f>
        <v/>
      </c>
      <c r="O161" s="18">
        <f>IF('Shipment Data'!A161="","",'Shipment Data'!L161)</f>
        <v/>
      </c>
      <c r="P161" s="19">
        <f>IF('Shipment Data'!A161="","",O161-N161)</f>
        <v/>
      </c>
      <c r="Q161" s="6">
        <f>IF('Shipment Data'!A161="","",IF(P161&gt;1,"OVERCHARGED",IF(P161&lt;-1,"UNDERBILLED","MATCH")))</f>
        <v/>
      </c>
    </row>
    <row r="162">
      <c r="A162" s="15">
        <f>IF('Shipment Data'!A162="","",'Shipment Data'!A162)</f>
        <v/>
      </c>
      <c r="B162" s="15">
        <f>IF('Shipment Data'!A162="","",'Shipment Data'!C162)</f>
        <v/>
      </c>
      <c r="C162" s="15">
        <f>IF('Shipment Data'!A162="","",'Shipment Data'!D162)</f>
        <v/>
      </c>
      <c r="D162" s="15">
        <f>IF('Shipment Data'!A162="","",'Shipment Data'!J162)</f>
        <v/>
      </c>
      <c r="E162" s="16">
        <f>IF('Shipment Data'!A162="","",'Shipment Data'!F162)</f>
        <v/>
      </c>
      <c r="F162" s="17">
        <f>IF('Shipment Data'!A162="","",('Shipment Data'!G162*'Shipment Data'!H162*'Shipment Data'!I162)/5000)</f>
        <v/>
      </c>
      <c r="G162" s="17">
        <f>IF('Shipment Data'!A162="","",CEILING(MAX(E162,F162),0.5))</f>
        <v/>
      </c>
      <c r="H162" s="16">
        <f>IF('Shipment Data'!A162="","",'Shipment Data'!K162)</f>
        <v/>
      </c>
      <c r="I162" s="6">
        <f>IF('Shipment Data'!A162="","",IF(H162&gt;G162,"COURIER OVER-ROUNDED WEIGHT","OK"))</f>
        <v/>
      </c>
      <c r="J162" s="18">
        <f>IF('Shipment Data'!A162="","",INDEX('Rate Card'!$D$4:$D$8,MATCH(B162,'Rate Card'!$A$4:$A$8,0)))</f>
        <v/>
      </c>
      <c r="K162" s="18">
        <f>IF('Shipment Data'!A162="","",ROUND((G162-INDEX('Rate Card'!$C$4:$C$8,MATCH(B162,'Rate Card'!$A$4:$A$8,0)))/0.5,0)*INDEX('Rate Card'!$E$4:$E$8,MATCH(B162,'Rate Card'!$A$4:$A$8,0)))</f>
        <v/>
      </c>
      <c r="L162" s="18">
        <f>IF('Shipment Data'!A162="","",IF(C162="COD",MAX('Shipment Data'!E162*INDEX('Rate Card'!$F$4:$F$8,MATCH(B162,'Rate Card'!$A$4:$A$8,0)),INDEX('Rate Card'!$G$4:$G$8,MATCH(B162,'Rate Card'!$A$4:$A$8,0))),0))</f>
        <v/>
      </c>
      <c r="M162" s="18">
        <f>IF('Shipment Data'!A162="","",IF(D162="RTO",(J162+K162)*INDEX('Rate Card'!$H$4:$H$8,MATCH(B162,'Rate Card'!$A$4:$A$8,0)),0))</f>
        <v/>
      </c>
      <c r="N162" s="19">
        <f>IF('Shipment Data'!A162="","",J162+K162+L162+M162)</f>
        <v/>
      </c>
      <c r="O162" s="18">
        <f>IF('Shipment Data'!A162="","",'Shipment Data'!L162)</f>
        <v/>
      </c>
      <c r="P162" s="19">
        <f>IF('Shipment Data'!A162="","",O162-N162)</f>
        <v/>
      </c>
      <c r="Q162" s="6">
        <f>IF('Shipment Data'!A162="","",IF(P162&gt;1,"OVERCHARGED",IF(P162&lt;-1,"UNDERBILLED","MATCH")))</f>
        <v/>
      </c>
    </row>
    <row r="163">
      <c r="A163" s="15">
        <f>IF('Shipment Data'!A163="","",'Shipment Data'!A163)</f>
        <v/>
      </c>
      <c r="B163" s="15">
        <f>IF('Shipment Data'!A163="","",'Shipment Data'!C163)</f>
        <v/>
      </c>
      <c r="C163" s="15">
        <f>IF('Shipment Data'!A163="","",'Shipment Data'!D163)</f>
        <v/>
      </c>
      <c r="D163" s="15">
        <f>IF('Shipment Data'!A163="","",'Shipment Data'!J163)</f>
        <v/>
      </c>
      <c r="E163" s="16">
        <f>IF('Shipment Data'!A163="","",'Shipment Data'!F163)</f>
        <v/>
      </c>
      <c r="F163" s="17">
        <f>IF('Shipment Data'!A163="","",('Shipment Data'!G163*'Shipment Data'!H163*'Shipment Data'!I163)/5000)</f>
        <v/>
      </c>
      <c r="G163" s="17">
        <f>IF('Shipment Data'!A163="","",CEILING(MAX(E163,F163),0.5))</f>
        <v/>
      </c>
      <c r="H163" s="16">
        <f>IF('Shipment Data'!A163="","",'Shipment Data'!K163)</f>
        <v/>
      </c>
      <c r="I163" s="6">
        <f>IF('Shipment Data'!A163="","",IF(H163&gt;G163,"COURIER OVER-ROUNDED WEIGHT","OK"))</f>
        <v/>
      </c>
      <c r="J163" s="18">
        <f>IF('Shipment Data'!A163="","",INDEX('Rate Card'!$D$4:$D$8,MATCH(B163,'Rate Card'!$A$4:$A$8,0)))</f>
        <v/>
      </c>
      <c r="K163" s="18">
        <f>IF('Shipment Data'!A163="","",ROUND((G163-INDEX('Rate Card'!$C$4:$C$8,MATCH(B163,'Rate Card'!$A$4:$A$8,0)))/0.5,0)*INDEX('Rate Card'!$E$4:$E$8,MATCH(B163,'Rate Card'!$A$4:$A$8,0)))</f>
        <v/>
      </c>
      <c r="L163" s="18">
        <f>IF('Shipment Data'!A163="","",IF(C163="COD",MAX('Shipment Data'!E163*INDEX('Rate Card'!$F$4:$F$8,MATCH(B163,'Rate Card'!$A$4:$A$8,0)),INDEX('Rate Card'!$G$4:$G$8,MATCH(B163,'Rate Card'!$A$4:$A$8,0))),0))</f>
        <v/>
      </c>
      <c r="M163" s="18">
        <f>IF('Shipment Data'!A163="","",IF(D163="RTO",(J163+K163)*INDEX('Rate Card'!$H$4:$H$8,MATCH(B163,'Rate Card'!$A$4:$A$8,0)),0))</f>
        <v/>
      </c>
      <c r="N163" s="19">
        <f>IF('Shipment Data'!A163="","",J163+K163+L163+M163)</f>
        <v/>
      </c>
      <c r="O163" s="18">
        <f>IF('Shipment Data'!A163="","",'Shipment Data'!L163)</f>
        <v/>
      </c>
      <c r="P163" s="19">
        <f>IF('Shipment Data'!A163="","",O163-N163)</f>
        <v/>
      </c>
      <c r="Q163" s="6">
        <f>IF('Shipment Data'!A163="","",IF(P163&gt;1,"OVERCHARGED",IF(P163&lt;-1,"UNDERBILLED","MATCH")))</f>
        <v/>
      </c>
    </row>
    <row r="164">
      <c r="A164" s="15">
        <f>IF('Shipment Data'!A164="","",'Shipment Data'!A164)</f>
        <v/>
      </c>
      <c r="B164" s="15">
        <f>IF('Shipment Data'!A164="","",'Shipment Data'!C164)</f>
        <v/>
      </c>
      <c r="C164" s="15">
        <f>IF('Shipment Data'!A164="","",'Shipment Data'!D164)</f>
        <v/>
      </c>
      <c r="D164" s="15">
        <f>IF('Shipment Data'!A164="","",'Shipment Data'!J164)</f>
        <v/>
      </c>
      <c r="E164" s="16">
        <f>IF('Shipment Data'!A164="","",'Shipment Data'!F164)</f>
        <v/>
      </c>
      <c r="F164" s="17">
        <f>IF('Shipment Data'!A164="","",('Shipment Data'!G164*'Shipment Data'!H164*'Shipment Data'!I164)/5000)</f>
        <v/>
      </c>
      <c r="G164" s="17">
        <f>IF('Shipment Data'!A164="","",CEILING(MAX(E164,F164),0.5))</f>
        <v/>
      </c>
      <c r="H164" s="16">
        <f>IF('Shipment Data'!A164="","",'Shipment Data'!K164)</f>
        <v/>
      </c>
      <c r="I164" s="6">
        <f>IF('Shipment Data'!A164="","",IF(H164&gt;G164,"COURIER OVER-ROUNDED WEIGHT","OK"))</f>
        <v/>
      </c>
      <c r="J164" s="18">
        <f>IF('Shipment Data'!A164="","",INDEX('Rate Card'!$D$4:$D$8,MATCH(B164,'Rate Card'!$A$4:$A$8,0)))</f>
        <v/>
      </c>
      <c r="K164" s="18">
        <f>IF('Shipment Data'!A164="","",ROUND((G164-INDEX('Rate Card'!$C$4:$C$8,MATCH(B164,'Rate Card'!$A$4:$A$8,0)))/0.5,0)*INDEX('Rate Card'!$E$4:$E$8,MATCH(B164,'Rate Card'!$A$4:$A$8,0)))</f>
        <v/>
      </c>
      <c r="L164" s="18">
        <f>IF('Shipment Data'!A164="","",IF(C164="COD",MAX('Shipment Data'!E164*INDEX('Rate Card'!$F$4:$F$8,MATCH(B164,'Rate Card'!$A$4:$A$8,0)),INDEX('Rate Card'!$G$4:$G$8,MATCH(B164,'Rate Card'!$A$4:$A$8,0))),0))</f>
        <v/>
      </c>
      <c r="M164" s="18">
        <f>IF('Shipment Data'!A164="","",IF(D164="RTO",(J164+K164)*INDEX('Rate Card'!$H$4:$H$8,MATCH(B164,'Rate Card'!$A$4:$A$8,0)),0))</f>
        <v/>
      </c>
      <c r="N164" s="19">
        <f>IF('Shipment Data'!A164="","",J164+K164+L164+M164)</f>
        <v/>
      </c>
      <c r="O164" s="18">
        <f>IF('Shipment Data'!A164="","",'Shipment Data'!L164)</f>
        <v/>
      </c>
      <c r="P164" s="19">
        <f>IF('Shipment Data'!A164="","",O164-N164)</f>
        <v/>
      </c>
      <c r="Q164" s="6">
        <f>IF('Shipment Data'!A164="","",IF(P164&gt;1,"OVERCHARGED",IF(P164&lt;-1,"UNDERBILLED","MATCH")))</f>
        <v/>
      </c>
    </row>
    <row r="165">
      <c r="A165" s="15">
        <f>IF('Shipment Data'!A165="","",'Shipment Data'!A165)</f>
        <v/>
      </c>
      <c r="B165" s="15">
        <f>IF('Shipment Data'!A165="","",'Shipment Data'!C165)</f>
        <v/>
      </c>
      <c r="C165" s="15">
        <f>IF('Shipment Data'!A165="","",'Shipment Data'!D165)</f>
        <v/>
      </c>
      <c r="D165" s="15">
        <f>IF('Shipment Data'!A165="","",'Shipment Data'!J165)</f>
        <v/>
      </c>
      <c r="E165" s="16">
        <f>IF('Shipment Data'!A165="","",'Shipment Data'!F165)</f>
        <v/>
      </c>
      <c r="F165" s="17">
        <f>IF('Shipment Data'!A165="","",('Shipment Data'!G165*'Shipment Data'!H165*'Shipment Data'!I165)/5000)</f>
        <v/>
      </c>
      <c r="G165" s="17">
        <f>IF('Shipment Data'!A165="","",CEILING(MAX(E165,F165),0.5))</f>
        <v/>
      </c>
      <c r="H165" s="16">
        <f>IF('Shipment Data'!A165="","",'Shipment Data'!K165)</f>
        <v/>
      </c>
      <c r="I165" s="6">
        <f>IF('Shipment Data'!A165="","",IF(H165&gt;G165,"COURIER OVER-ROUNDED WEIGHT","OK"))</f>
        <v/>
      </c>
      <c r="J165" s="18">
        <f>IF('Shipment Data'!A165="","",INDEX('Rate Card'!$D$4:$D$8,MATCH(B165,'Rate Card'!$A$4:$A$8,0)))</f>
        <v/>
      </c>
      <c r="K165" s="18">
        <f>IF('Shipment Data'!A165="","",ROUND((G165-INDEX('Rate Card'!$C$4:$C$8,MATCH(B165,'Rate Card'!$A$4:$A$8,0)))/0.5,0)*INDEX('Rate Card'!$E$4:$E$8,MATCH(B165,'Rate Card'!$A$4:$A$8,0)))</f>
        <v/>
      </c>
      <c r="L165" s="18">
        <f>IF('Shipment Data'!A165="","",IF(C165="COD",MAX('Shipment Data'!E165*INDEX('Rate Card'!$F$4:$F$8,MATCH(B165,'Rate Card'!$A$4:$A$8,0)),INDEX('Rate Card'!$G$4:$G$8,MATCH(B165,'Rate Card'!$A$4:$A$8,0))),0))</f>
        <v/>
      </c>
      <c r="M165" s="18">
        <f>IF('Shipment Data'!A165="","",IF(D165="RTO",(J165+K165)*INDEX('Rate Card'!$H$4:$H$8,MATCH(B165,'Rate Card'!$A$4:$A$8,0)),0))</f>
        <v/>
      </c>
      <c r="N165" s="19">
        <f>IF('Shipment Data'!A165="","",J165+K165+L165+M165)</f>
        <v/>
      </c>
      <c r="O165" s="18">
        <f>IF('Shipment Data'!A165="","",'Shipment Data'!L165)</f>
        <v/>
      </c>
      <c r="P165" s="19">
        <f>IF('Shipment Data'!A165="","",O165-N165)</f>
        <v/>
      </c>
      <c r="Q165" s="6">
        <f>IF('Shipment Data'!A165="","",IF(P165&gt;1,"OVERCHARGED",IF(P165&lt;-1,"UNDERBILLED","MATCH")))</f>
        <v/>
      </c>
    </row>
    <row r="166">
      <c r="A166" s="15">
        <f>IF('Shipment Data'!A166="","",'Shipment Data'!A166)</f>
        <v/>
      </c>
      <c r="B166" s="15">
        <f>IF('Shipment Data'!A166="","",'Shipment Data'!C166)</f>
        <v/>
      </c>
      <c r="C166" s="15">
        <f>IF('Shipment Data'!A166="","",'Shipment Data'!D166)</f>
        <v/>
      </c>
      <c r="D166" s="15">
        <f>IF('Shipment Data'!A166="","",'Shipment Data'!J166)</f>
        <v/>
      </c>
      <c r="E166" s="16">
        <f>IF('Shipment Data'!A166="","",'Shipment Data'!F166)</f>
        <v/>
      </c>
      <c r="F166" s="17">
        <f>IF('Shipment Data'!A166="","",('Shipment Data'!G166*'Shipment Data'!H166*'Shipment Data'!I166)/5000)</f>
        <v/>
      </c>
      <c r="G166" s="17">
        <f>IF('Shipment Data'!A166="","",CEILING(MAX(E166,F166),0.5))</f>
        <v/>
      </c>
      <c r="H166" s="16">
        <f>IF('Shipment Data'!A166="","",'Shipment Data'!K166)</f>
        <v/>
      </c>
      <c r="I166" s="6">
        <f>IF('Shipment Data'!A166="","",IF(H166&gt;G166,"COURIER OVER-ROUNDED WEIGHT","OK"))</f>
        <v/>
      </c>
      <c r="J166" s="18">
        <f>IF('Shipment Data'!A166="","",INDEX('Rate Card'!$D$4:$D$8,MATCH(B166,'Rate Card'!$A$4:$A$8,0)))</f>
        <v/>
      </c>
      <c r="K166" s="18">
        <f>IF('Shipment Data'!A166="","",ROUND((G166-INDEX('Rate Card'!$C$4:$C$8,MATCH(B166,'Rate Card'!$A$4:$A$8,0)))/0.5,0)*INDEX('Rate Card'!$E$4:$E$8,MATCH(B166,'Rate Card'!$A$4:$A$8,0)))</f>
        <v/>
      </c>
      <c r="L166" s="18">
        <f>IF('Shipment Data'!A166="","",IF(C166="COD",MAX('Shipment Data'!E166*INDEX('Rate Card'!$F$4:$F$8,MATCH(B166,'Rate Card'!$A$4:$A$8,0)),INDEX('Rate Card'!$G$4:$G$8,MATCH(B166,'Rate Card'!$A$4:$A$8,0))),0))</f>
        <v/>
      </c>
      <c r="M166" s="18">
        <f>IF('Shipment Data'!A166="","",IF(D166="RTO",(J166+K166)*INDEX('Rate Card'!$H$4:$H$8,MATCH(B166,'Rate Card'!$A$4:$A$8,0)),0))</f>
        <v/>
      </c>
      <c r="N166" s="19">
        <f>IF('Shipment Data'!A166="","",J166+K166+L166+M166)</f>
        <v/>
      </c>
      <c r="O166" s="18">
        <f>IF('Shipment Data'!A166="","",'Shipment Data'!L166)</f>
        <v/>
      </c>
      <c r="P166" s="19">
        <f>IF('Shipment Data'!A166="","",O166-N166)</f>
        <v/>
      </c>
      <c r="Q166" s="6">
        <f>IF('Shipment Data'!A166="","",IF(P166&gt;1,"OVERCHARGED",IF(P166&lt;-1,"UNDERBILLED","MATCH")))</f>
        <v/>
      </c>
    </row>
    <row r="167">
      <c r="A167" s="15">
        <f>IF('Shipment Data'!A167="","",'Shipment Data'!A167)</f>
        <v/>
      </c>
      <c r="B167" s="15">
        <f>IF('Shipment Data'!A167="","",'Shipment Data'!C167)</f>
        <v/>
      </c>
      <c r="C167" s="15">
        <f>IF('Shipment Data'!A167="","",'Shipment Data'!D167)</f>
        <v/>
      </c>
      <c r="D167" s="15">
        <f>IF('Shipment Data'!A167="","",'Shipment Data'!J167)</f>
        <v/>
      </c>
      <c r="E167" s="16">
        <f>IF('Shipment Data'!A167="","",'Shipment Data'!F167)</f>
        <v/>
      </c>
      <c r="F167" s="17">
        <f>IF('Shipment Data'!A167="","",('Shipment Data'!G167*'Shipment Data'!H167*'Shipment Data'!I167)/5000)</f>
        <v/>
      </c>
      <c r="G167" s="17">
        <f>IF('Shipment Data'!A167="","",CEILING(MAX(E167,F167),0.5))</f>
        <v/>
      </c>
      <c r="H167" s="16">
        <f>IF('Shipment Data'!A167="","",'Shipment Data'!K167)</f>
        <v/>
      </c>
      <c r="I167" s="6">
        <f>IF('Shipment Data'!A167="","",IF(H167&gt;G167,"COURIER OVER-ROUNDED WEIGHT","OK"))</f>
        <v/>
      </c>
      <c r="J167" s="18">
        <f>IF('Shipment Data'!A167="","",INDEX('Rate Card'!$D$4:$D$8,MATCH(B167,'Rate Card'!$A$4:$A$8,0)))</f>
        <v/>
      </c>
      <c r="K167" s="18">
        <f>IF('Shipment Data'!A167="","",ROUND((G167-INDEX('Rate Card'!$C$4:$C$8,MATCH(B167,'Rate Card'!$A$4:$A$8,0)))/0.5,0)*INDEX('Rate Card'!$E$4:$E$8,MATCH(B167,'Rate Card'!$A$4:$A$8,0)))</f>
        <v/>
      </c>
      <c r="L167" s="18">
        <f>IF('Shipment Data'!A167="","",IF(C167="COD",MAX('Shipment Data'!E167*INDEX('Rate Card'!$F$4:$F$8,MATCH(B167,'Rate Card'!$A$4:$A$8,0)),INDEX('Rate Card'!$G$4:$G$8,MATCH(B167,'Rate Card'!$A$4:$A$8,0))),0))</f>
        <v/>
      </c>
      <c r="M167" s="18">
        <f>IF('Shipment Data'!A167="","",IF(D167="RTO",(J167+K167)*INDEX('Rate Card'!$H$4:$H$8,MATCH(B167,'Rate Card'!$A$4:$A$8,0)),0))</f>
        <v/>
      </c>
      <c r="N167" s="19">
        <f>IF('Shipment Data'!A167="","",J167+K167+L167+M167)</f>
        <v/>
      </c>
      <c r="O167" s="18">
        <f>IF('Shipment Data'!A167="","",'Shipment Data'!L167)</f>
        <v/>
      </c>
      <c r="P167" s="19">
        <f>IF('Shipment Data'!A167="","",O167-N167)</f>
        <v/>
      </c>
      <c r="Q167" s="6">
        <f>IF('Shipment Data'!A167="","",IF(P167&gt;1,"OVERCHARGED",IF(P167&lt;-1,"UNDERBILLED","MATCH")))</f>
        <v/>
      </c>
    </row>
    <row r="168">
      <c r="A168" s="15">
        <f>IF('Shipment Data'!A168="","",'Shipment Data'!A168)</f>
        <v/>
      </c>
      <c r="B168" s="15">
        <f>IF('Shipment Data'!A168="","",'Shipment Data'!C168)</f>
        <v/>
      </c>
      <c r="C168" s="15">
        <f>IF('Shipment Data'!A168="","",'Shipment Data'!D168)</f>
        <v/>
      </c>
      <c r="D168" s="15">
        <f>IF('Shipment Data'!A168="","",'Shipment Data'!J168)</f>
        <v/>
      </c>
      <c r="E168" s="16">
        <f>IF('Shipment Data'!A168="","",'Shipment Data'!F168)</f>
        <v/>
      </c>
      <c r="F168" s="17">
        <f>IF('Shipment Data'!A168="","",('Shipment Data'!G168*'Shipment Data'!H168*'Shipment Data'!I168)/5000)</f>
        <v/>
      </c>
      <c r="G168" s="17">
        <f>IF('Shipment Data'!A168="","",CEILING(MAX(E168,F168),0.5))</f>
        <v/>
      </c>
      <c r="H168" s="16">
        <f>IF('Shipment Data'!A168="","",'Shipment Data'!K168)</f>
        <v/>
      </c>
      <c r="I168" s="6">
        <f>IF('Shipment Data'!A168="","",IF(H168&gt;G168,"COURIER OVER-ROUNDED WEIGHT","OK"))</f>
        <v/>
      </c>
      <c r="J168" s="18">
        <f>IF('Shipment Data'!A168="","",INDEX('Rate Card'!$D$4:$D$8,MATCH(B168,'Rate Card'!$A$4:$A$8,0)))</f>
        <v/>
      </c>
      <c r="K168" s="18">
        <f>IF('Shipment Data'!A168="","",ROUND((G168-INDEX('Rate Card'!$C$4:$C$8,MATCH(B168,'Rate Card'!$A$4:$A$8,0)))/0.5,0)*INDEX('Rate Card'!$E$4:$E$8,MATCH(B168,'Rate Card'!$A$4:$A$8,0)))</f>
        <v/>
      </c>
      <c r="L168" s="18">
        <f>IF('Shipment Data'!A168="","",IF(C168="COD",MAX('Shipment Data'!E168*INDEX('Rate Card'!$F$4:$F$8,MATCH(B168,'Rate Card'!$A$4:$A$8,0)),INDEX('Rate Card'!$G$4:$G$8,MATCH(B168,'Rate Card'!$A$4:$A$8,0))),0))</f>
        <v/>
      </c>
      <c r="M168" s="18">
        <f>IF('Shipment Data'!A168="","",IF(D168="RTO",(J168+K168)*INDEX('Rate Card'!$H$4:$H$8,MATCH(B168,'Rate Card'!$A$4:$A$8,0)),0))</f>
        <v/>
      </c>
      <c r="N168" s="19">
        <f>IF('Shipment Data'!A168="","",J168+K168+L168+M168)</f>
        <v/>
      </c>
      <c r="O168" s="18">
        <f>IF('Shipment Data'!A168="","",'Shipment Data'!L168)</f>
        <v/>
      </c>
      <c r="P168" s="19">
        <f>IF('Shipment Data'!A168="","",O168-N168)</f>
        <v/>
      </c>
      <c r="Q168" s="6">
        <f>IF('Shipment Data'!A168="","",IF(P168&gt;1,"OVERCHARGED",IF(P168&lt;-1,"UNDERBILLED","MATCH")))</f>
        <v/>
      </c>
    </row>
    <row r="169">
      <c r="A169" s="15">
        <f>IF('Shipment Data'!A169="","",'Shipment Data'!A169)</f>
        <v/>
      </c>
      <c r="B169" s="15">
        <f>IF('Shipment Data'!A169="","",'Shipment Data'!C169)</f>
        <v/>
      </c>
      <c r="C169" s="15">
        <f>IF('Shipment Data'!A169="","",'Shipment Data'!D169)</f>
        <v/>
      </c>
      <c r="D169" s="15">
        <f>IF('Shipment Data'!A169="","",'Shipment Data'!J169)</f>
        <v/>
      </c>
      <c r="E169" s="16">
        <f>IF('Shipment Data'!A169="","",'Shipment Data'!F169)</f>
        <v/>
      </c>
      <c r="F169" s="17">
        <f>IF('Shipment Data'!A169="","",('Shipment Data'!G169*'Shipment Data'!H169*'Shipment Data'!I169)/5000)</f>
        <v/>
      </c>
      <c r="G169" s="17">
        <f>IF('Shipment Data'!A169="","",CEILING(MAX(E169,F169),0.5))</f>
        <v/>
      </c>
      <c r="H169" s="16">
        <f>IF('Shipment Data'!A169="","",'Shipment Data'!K169)</f>
        <v/>
      </c>
      <c r="I169" s="6">
        <f>IF('Shipment Data'!A169="","",IF(H169&gt;G169,"COURIER OVER-ROUNDED WEIGHT","OK"))</f>
        <v/>
      </c>
      <c r="J169" s="18">
        <f>IF('Shipment Data'!A169="","",INDEX('Rate Card'!$D$4:$D$8,MATCH(B169,'Rate Card'!$A$4:$A$8,0)))</f>
        <v/>
      </c>
      <c r="K169" s="18">
        <f>IF('Shipment Data'!A169="","",ROUND((G169-INDEX('Rate Card'!$C$4:$C$8,MATCH(B169,'Rate Card'!$A$4:$A$8,0)))/0.5,0)*INDEX('Rate Card'!$E$4:$E$8,MATCH(B169,'Rate Card'!$A$4:$A$8,0)))</f>
        <v/>
      </c>
      <c r="L169" s="18">
        <f>IF('Shipment Data'!A169="","",IF(C169="COD",MAX('Shipment Data'!E169*INDEX('Rate Card'!$F$4:$F$8,MATCH(B169,'Rate Card'!$A$4:$A$8,0)),INDEX('Rate Card'!$G$4:$G$8,MATCH(B169,'Rate Card'!$A$4:$A$8,0))),0))</f>
        <v/>
      </c>
      <c r="M169" s="18">
        <f>IF('Shipment Data'!A169="","",IF(D169="RTO",(J169+K169)*INDEX('Rate Card'!$H$4:$H$8,MATCH(B169,'Rate Card'!$A$4:$A$8,0)),0))</f>
        <v/>
      </c>
      <c r="N169" s="19">
        <f>IF('Shipment Data'!A169="","",J169+K169+L169+M169)</f>
        <v/>
      </c>
      <c r="O169" s="18">
        <f>IF('Shipment Data'!A169="","",'Shipment Data'!L169)</f>
        <v/>
      </c>
      <c r="P169" s="19">
        <f>IF('Shipment Data'!A169="","",O169-N169)</f>
        <v/>
      </c>
      <c r="Q169" s="6">
        <f>IF('Shipment Data'!A169="","",IF(P169&gt;1,"OVERCHARGED",IF(P169&lt;-1,"UNDERBILLED","MATCH")))</f>
        <v/>
      </c>
    </row>
    <row r="170">
      <c r="A170" s="15">
        <f>IF('Shipment Data'!A170="","",'Shipment Data'!A170)</f>
        <v/>
      </c>
      <c r="B170" s="15">
        <f>IF('Shipment Data'!A170="","",'Shipment Data'!C170)</f>
        <v/>
      </c>
      <c r="C170" s="15">
        <f>IF('Shipment Data'!A170="","",'Shipment Data'!D170)</f>
        <v/>
      </c>
      <c r="D170" s="15">
        <f>IF('Shipment Data'!A170="","",'Shipment Data'!J170)</f>
        <v/>
      </c>
      <c r="E170" s="16">
        <f>IF('Shipment Data'!A170="","",'Shipment Data'!F170)</f>
        <v/>
      </c>
      <c r="F170" s="17">
        <f>IF('Shipment Data'!A170="","",('Shipment Data'!G170*'Shipment Data'!H170*'Shipment Data'!I170)/5000)</f>
        <v/>
      </c>
      <c r="G170" s="17">
        <f>IF('Shipment Data'!A170="","",CEILING(MAX(E170,F170),0.5))</f>
        <v/>
      </c>
      <c r="H170" s="16">
        <f>IF('Shipment Data'!A170="","",'Shipment Data'!K170)</f>
        <v/>
      </c>
      <c r="I170" s="6">
        <f>IF('Shipment Data'!A170="","",IF(H170&gt;G170,"COURIER OVER-ROUNDED WEIGHT","OK"))</f>
        <v/>
      </c>
      <c r="J170" s="18">
        <f>IF('Shipment Data'!A170="","",INDEX('Rate Card'!$D$4:$D$8,MATCH(B170,'Rate Card'!$A$4:$A$8,0)))</f>
        <v/>
      </c>
      <c r="K170" s="18">
        <f>IF('Shipment Data'!A170="","",ROUND((G170-INDEX('Rate Card'!$C$4:$C$8,MATCH(B170,'Rate Card'!$A$4:$A$8,0)))/0.5,0)*INDEX('Rate Card'!$E$4:$E$8,MATCH(B170,'Rate Card'!$A$4:$A$8,0)))</f>
        <v/>
      </c>
      <c r="L170" s="18">
        <f>IF('Shipment Data'!A170="","",IF(C170="COD",MAX('Shipment Data'!E170*INDEX('Rate Card'!$F$4:$F$8,MATCH(B170,'Rate Card'!$A$4:$A$8,0)),INDEX('Rate Card'!$G$4:$G$8,MATCH(B170,'Rate Card'!$A$4:$A$8,0))),0))</f>
        <v/>
      </c>
      <c r="M170" s="18">
        <f>IF('Shipment Data'!A170="","",IF(D170="RTO",(J170+K170)*INDEX('Rate Card'!$H$4:$H$8,MATCH(B170,'Rate Card'!$A$4:$A$8,0)),0))</f>
        <v/>
      </c>
      <c r="N170" s="19">
        <f>IF('Shipment Data'!A170="","",J170+K170+L170+M170)</f>
        <v/>
      </c>
      <c r="O170" s="18">
        <f>IF('Shipment Data'!A170="","",'Shipment Data'!L170)</f>
        <v/>
      </c>
      <c r="P170" s="19">
        <f>IF('Shipment Data'!A170="","",O170-N170)</f>
        <v/>
      </c>
      <c r="Q170" s="6">
        <f>IF('Shipment Data'!A170="","",IF(P170&gt;1,"OVERCHARGED",IF(P170&lt;-1,"UNDERBILLED","MATCH")))</f>
        <v/>
      </c>
    </row>
    <row r="171">
      <c r="A171" s="15">
        <f>IF('Shipment Data'!A171="","",'Shipment Data'!A171)</f>
        <v/>
      </c>
      <c r="B171" s="15">
        <f>IF('Shipment Data'!A171="","",'Shipment Data'!C171)</f>
        <v/>
      </c>
      <c r="C171" s="15">
        <f>IF('Shipment Data'!A171="","",'Shipment Data'!D171)</f>
        <v/>
      </c>
      <c r="D171" s="15">
        <f>IF('Shipment Data'!A171="","",'Shipment Data'!J171)</f>
        <v/>
      </c>
      <c r="E171" s="16">
        <f>IF('Shipment Data'!A171="","",'Shipment Data'!F171)</f>
        <v/>
      </c>
      <c r="F171" s="17">
        <f>IF('Shipment Data'!A171="","",('Shipment Data'!G171*'Shipment Data'!H171*'Shipment Data'!I171)/5000)</f>
        <v/>
      </c>
      <c r="G171" s="17">
        <f>IF('Shipment Data'!A171="","",CEILING(MAX(E171,F171),0.5))</f>
        <v/>
      </c>
      <c r="H171" s="16">
        <f>IF('Shipment Data'!A171="","",'Shipment Data'!K171)</f>
        <v/>
      </c>
      <c r="I171" s="6">
        <f>IF('Shipment Data'!A171="","",IF(H171&gt;G171,"COURIER OVER-ROUNDED WEIGHT","OK"))</f>
        <v/>
      </c>
      <c r="J171" s="18">
        <f>IF('Shipment Data'!A171="","",INDEX('Rate Card'!$D$4:$D$8,MATCH(B171,'Rate Card'!$A$4:$A$8,0)))</f>
        <v/>
      </c>
      <c r="K171" s="18">
        <f>IF('Shipment Data'!A171="","",ROUND((G171-INDEX('Rate Card'!$C$4:$C$8,MATCH(B171,'Rate Card'!$A$4:$A$8,0)))/0.5,0)*INDEX('Rate Card'!$E$4:$E$8,MATCH(B171,'Rate Card'!$A$4:$A$8,0)))</f>
        <v/>
      </c>
      <c r="L171" s="18">
        <f>IF('Shipment Data'!A171="","",IF(C171="COD",MAX('Shipment Data'!E171*INDEX('Rate Card'!$F$4:$F$8,MATCH(B171,'Rate Card'!$A$4:$A$8,0)),INDEX('Rate Card'!$G$4:$G$8,MATCH(B171,'Rate Card'!$A$4:$A$8,0))),0))</f>
        <v/>
      </c>
      <c r="M171" s="18">
        <f>IF('Shipment Data'!A171="","",IF(D171="RTO",(J171+K171)*INDEX('Rate Card'!$H$4:$H$8,MATCH(B171,'Rate Card'!$A$4:$A$8,0)),0))</f>
        <v/>
      </c>
      <c r="N171" s="19">
        <f>IF('Shipment Data'!A171="","",J171+K171+L171+M171)</f>
        <v/>
      </c>
      <c r="O171" s="18">
        <f>IF('Shipment Data'!A171="","",'Shipment Data'!L171)</f>
        <v/>
      </c>
      <c r="P171" s="19">
        <f>IF('Shipment Data'!A171="","",O171-N171)</f>
        <v/>
      </c>
      <c r="Q171" s="6">
        <f>IF('Shipment Data'!A171="","",IF(P171&gt;1,"OVERCHARGED",IF(P171&lt;-1,"UNDERBILLED","MATCH")))</f>
        <v/>
      </c>
    </row>
    <row r="172">
      <c r="A172" s="15">
        <f>IF('Shipment Data'!A172="","",'Shipment Data'!A172)</f>
        <v/>
      </c>
      <c r="B172" s="15">
        <f>IF('Shipment Data'!A172="","",'Shipment Data'!C172)</f>
        <v/>
      </c>
      <c r="C172" s="15">
        <f>IF('Shipment Data'!A172="","",'Shipment Data'!D172)</f>
        <v/>
      </c>
      <c r="D172" s="15">
        <f>IF('Shipment Data'!A172="","",'Shipment Data'!J172)</f>
        <v/>
      </c>
      <c r="E172" s="16">
        <f>IF('Shipment Data'!A172="","",'Shipment Data'!F172)</f>
        <v/>
      </c>
      <c r="F172" s="17">
        <f>IF('Shipment Data'!A172="","",('Shipment Data'!G172*'Shipment Data'!H172*'Shipment Data'!I172)/5000)</f>
        <v/>
      </c>
      <c r="G172" s="17">
        <f>IF('Shipment Data'!A172="","",CEILING(MAX(E172,F172),0.5))</f>
        <v/>
      </c>
      <c r="H172" s="16">
        <f>IF('Shipment Data'!A172="","",'Shipment Data'!K172)</f>
        <v/>
      </c>
      <c r="I172" s="6">
        <f>IF('Shipment Data'!A172="","",IF(H172&gt;G172,"COURIER OVER-ROUNDED WEIGHT","OK"))</f>
        <v/>
      </c>
      <c r="J172" s="18">
        <f>IF('Shipment Data'!A172="","",INDEX('Rate Card'!$D$4:$D$8,MATCH(B172,'Rate Card'!$A$4:$A$8,0)))</f>
        <v/>
      </c>
      <c r="K172" s="18">
        <f>IF('Shipment Data'!A172="","",ROUND((G172-INDEX('Rate Card'!$C$4:$C$8,MATCH(B172,'Rate Card'!$A$4:$A$8,0)))/0.5,0)*INDEX('Rate Card'!$E$4:$E$8,MATCH(B172,'Rate Card'!$A$4:$A$8,0)))</f>
        <v/>
      </c>
      <c r="L172" s="18">
        <f>IF('Shipment Data'!A172="","",IF(C172="COD",MAX('Shipment Data'!E172*INDEX('Rate Card'!$F$4:$F$8,MATCH(B172,'Rate Card'!$A$4:$A$8,0)),INDEX('Rate Card'!$G$4:$G$8,MATCH(B172,'Rate Card'!$A$4:$A$8,0))),0))</f>
        <v/>
      </c>
      <c r="M172" s="18">
        <f>IF('Shipment Data'!A172="","",IF(D172="RTO",(J172+K172)*INDEX('Rate Card'!$H$4:$H$8,MATCH(B172,'Rate Card'!$A$4:$A$8,0)),0))</f>
        <v/>
      </c>
      <c r="N172" s="19">
        <f>IF('Shipment Data'!A172="","",J172+K172+L172+M172)</f>
        <v/>
      </c>
      <c r="O172" s="18">
        <f>IF('Shipment Data'!A172="","",'Shipment Data'!L172)</f>
        <v/>
      </c>
      <c r="P172" s="19">
        <f>IF('Shipment Data'!A172="","",O172-N172)</f>
        <v/>
      </c>
      <c r="Q172" s="6">
        <f>IF('Shipment Data'!A172="","",IF(P172&gt;1,"OVERCHARGED",IF(P172&lt;-1,"UNDERBILLED","MATCH")))</f>
        <v/>
      </c>
    </row>
    <row r="173">
      <c r="A173" s="15">
        <f>IF('Shipment Data'!A173="","",'Shipment Data'!A173)</f>
        <v/>
      </c>
      <c r="B173" s="15">
        <f>IF('Shipment Data'!A173="","",'Shipment Data'!C173)</f>
        <v/>
      </c>
      <c r="C173" s="15">
        <f>IF('Shipment Data'!A173="","",'Shipment Data'!D173)</f>
        <v/>
      </c>
      <c r="D173" s="15">
        <f>IF('Shipment Data'!A173="","",'Shipment Data'!J173)</f>
        <v/>
      </c>
      <c r="E173" s="16">
        <f>IF('Shipment Data'!A173="","",'Shipment Data'!F173)</f>
        <v/>
      </c>
      <c r="F173" s="17">
        <f>IF('Shipment Data'!A173="","",('Shipment Data'!G173*'Shipment Data'!H173*'Shipment Data'!I173)/5000)</f>
        <v/>
      </c>
      <c r="G173" s="17">
        <f>IF('Shipment Data'!A173="","",CEILING(MAX(E173,F173),0.5))</f>
        <v/>
      </c>
      <c r="H173" s="16">
        <f>IF('Shipment Data'!A173="","",'Shipment Data'!K173)</f>
        <v/>
      </c>
      <c r="I173" s="6">
        <f>IF('Shipment Data'!A173="","",IF(H173&gt;G173,"COURIER OVER-ROUNDED WEIGHT","OK"))</f>
        <v/>
      </c>
      <c r="J173" s="18">
        <f>IF('Shipment Data'!A173="","",INDEX('Rate Card'!$D$4:$D$8,MATCH(B173,'Rate Card'!$A$4:$A$8,0)))</f>
        <v/>
      </c>
      <c r="K173" s="18">
        <f>IF('Shipment Data'!A173="","",ROUND((G173-INDEX('Rate Card'!$C$4:$C$8,MATCH(B173,'Rate Card'!$A$4:$A$8,0)))/0.5,0)*INDEX('Rate Card'!$E$4:$E$8,MATCH(B173,'Rate Card'!$A$4:$A$8,0)))</f>
        <v/>
      </c>
      <c r="L173" s="18">
        <f>IF('Shipment Data'!A173="","",IF(C173="COD",MAX('Shipment Data'!E173*INDEX('Rate Card'!$F$4:$F$8,MATCH(B173,'Rate Card'!$A$4:$A$8,0)),INDEX('Rate Card'!$G$4:$G$8,MATCH(B173,'Rate Card'!$A$4:$A$8,0))),0))</f>
        <v/>
      </c>
      <c r="M173" s="18">
        <f>IF('Shipment Data'!A173="","",IF(D173="RTO",(J173+K173)*INDEX('Rate Card'!$H$4:$H$8,MATCH(B173,'Rate Card'!$A$4:$A$8,0)),0))</f>
        <v/>
      </c>
      <c r="N173" s="19">
        <f>IF('Shipment Data'!A173="","",J173+K173+L173+M173)</f>
        <v/>
      </c>
      <c r="O173" s="18">
        <f>IF('Shipment Data'!A173="","",'Shipment Data'!L173)</f>
        <v/>
      </c>
      <c r="P173" s="19">
        <f>IF('Shipment Data'!A173="","",O173-N173)</f>
        <v/>
      </c>
      <c r="Q173" s="6">
        <f>IF('Shipment Data'!A173="","",IF(P173&gt;1,"OVERCHARGED",IF(P173&lt;-1,"UNDERBILLED","MATCH")))</f>
        <v/>
      </c>
    </row>
    <row r="174">
      <c r="A174" s="15">
        <f>IF('Shipment Data'!A174="","",'Shipment Data'!A174)</f>
        <v/>
      </c>
      <c r="B174" s="15">
        <f>IF('Shipment Data'!A174="","",'Shipment Data'!C174)</f>
        <v/>
      </c>
      <c r="C174" s="15">
        <f>IF('Shipment Data'!A174="","",'Shipment Data'!D174)</f>
        <v/>
      </c>
      <c r="D174" s="15">
        <f>IF('Shipment Data'!A174="","",'Shipment Data'!J174)</f>
        <v/>
      </c>
      <c r="E174" s="16">
        <f>IF('Shipment Data'!A174="","",'Shipment Data'!F174)</f>
        <v/>
      </c>
      <c r="F174" s="17">
        <f>IF('Shipment Data'!A174="","",('Shipment Data'!G174*'Shipment Data'!H174*'Shipment Data'!I174)/5000)</f>
        <v/>
      </c>
      <c r="G174" s="17">
        <f>IF('Shipment Data'!A174="","",CEILING(MAX(E174,F174),0.5))</f>
        <v/>
      </c>
      <c r="H174" s="16">
        <f>IF('Shipment Data'!A174="","",'Shipment Data'!K174)</f>
        <v/>
      </c>
      <c r="I174" s="6">
        <f>IF('Shipment Data'!A174="","",IF(H174&gt;G174,"COURIER OVER-ROUNDED WEIGHT","OK"))</f>
        <v/>
      </c>
      <c r="J174" s="18">
        <f>IF('Shipment Data'!A174="","",INDEX('Rate Card'!$D$4:$D$8,MATCH(B174,'Rate Card'!$A$4:$A$8,0)))</f>
        <v/>
      </c>
      <c r="K174" s="18">
        <f>IF('Shipment Data'!A174="","",ROUND((G174-INDEX('Rate Card'!$C$4:$C$8,MATCH(B174,'Rate Card'!$A$4:$A$8,0)))/0.5,0)*INDEX('Rate Card'!$E$4:$E$8,MATCH(B174,'Rate Card'!$A$4:$A$8,0)))</f>
        <v/>
      </c>
      <c r="L174" s="18">
        <f>IF('Shipment Data'!A174="","",IF(C174="COD",MAX('Shipment Data'!E174*INDEX('Rate Card'!$F$4:$F$8,MATCH(B174,'Rate Card'!$A$4:$A$8,0)),INDEX('Rate Card'!$G$4:$G$8,MATCH(B174,'Rate Card'!$A$4:$A$8,0))),0))</f>
        <v/>
      </c>
      <c r="M174" s="18">
        <f>IF('Shipment Data'!A174="","",IF(D174="RTO",(J174+K174)*INDEX('Rate Card'!$H$4:$H$8,MATCH(B174,'Rate Card'!$A$4:$A$8,0)),0))</f>
        <v/>
      </c>
      <c r="N174" s="19">
        <f>IF('Shipment Data'!A174="","",J174+K174+L174+M174)</f>
        <v/>
      </c>
      <c r="O174" s="18">
        <f>IF('Shipment Data'!A174="","",'Shipment Data'!L174)</f>
        <v/>
      </c>
      <c r="P174" s="19">
        <f>IF('Shipment Data'!A174="","",O174-N174)</f>
        <v/>
      </c>
      <c r="Q174" s="6">
        <f>IF('Shipment Data'!A174="","",IF(P174&gt;1,"OVERCHARGED",IF(P174&lt;-1,"UNDERBILLED","MATCH")))</f>
        <v/>
      </c>
    </row>
    <row r="175">
      <c r="A175" s="15">
        <f>IF('Shipment Data'!A175="","",'Shipment Data'!A175)</f>
        <v/>
      </c>
      <c r="B175" s="15">
        <f>IF('Shipment Data'!A175="","",'Shipment Data'!C175)</f>
        <v/>
      </c>
      <c r="C175" s="15">
        <f>IF('Shipment Data'!A175="","",'Shipment Data'!D175)</f>
        <v/>
      </c>
      <c r="D175" s="15">
        <f>IF('Shipment Data'!A175="","",'Shipment Data'!J175)</f>
        <v/>
      </c>
      <c r="E175" s="16">
        <f>IF('Shipment Data'!A175="","",'Shipment Data'!F175)</f>
        <v/>
      </c>
      <c r="F175" s="17">
        <f>IF('Shipment Data'!A175="","",('Shipment Data'!G175*'Shipment Data'!H175*'Shipment Data'!I175)/5000)</f>
        <v/>
      </c>
      <c r="G175" s="17">
        <f>IF('Shipment Data'!A175="","",CEILING(MAX(E175,F175),0.5))</f>
        <v/>
      </c>
      <c r="H175" s="16">
        <f>IF('Shipment Data'!A175="","",'Shipment Data'!K175)</f>
        <v/>
      </c>
      <c r="I175" s="6">
        <f>IF('Shipment Data'!A175="","",IF(H175&gt;G175,"COURIER OVER-ROUNDED WEIGHT","OK"))</f>
        <v/>
      </c>
      <c r="J175" s="18">
        <f>IF('Shipment Data'!A175="","",INDEX('Rate Card'!$D$4:$D$8,MATCH(B175,'Rate Card'!$A$4:$A$8,0)))</f>
        <v/>
      </c>
      <c r="K175" s="18">
        <f>IF('Shipment Data'!A175="","",ROUND((G175-INDEX('Rate Card'!$C$4:$C$8,MATCH(B175,'Rate Card'!$A$4:$A$8,0)))/0.5,0)*INDEX('Rate Card'!$E$4:$E$8,MATCH(B175,'Rate Card'!$A$4:$A$8,0)))</f>
        <v/>
      </c>
      <c r="L175" s="18">
        <f>IF('Shipment Data'!A175="","",IF(C175="COD",MAX('Shipment Data'!E175*INDEX('Rate Card'!$F$4:$F$8,MATCH(B175,'Rate Card'!$A$4:$A$8,0)),INDEX('Rate Card'!$G$4:$G$8,MATCH(B175,'Rate Card'!$A$4:$A$8,0))),0))</f>
        <v/>
      </c>
      <c r="M175" s="18">
        <f>IF('Shipment Data'!A175="","",IF(D175="RTO",(J175+K175)*INDEX('Rate Card'!$H$4:$H$8,MATCH(B175,'Rate Card'!$A$4:$A$8,0)),0))</f>
        <v/>
      </c>
      <c r="N175" s="19">
        <f>IF('Shipment Data'!A175="","",J175+K175+L175+M175)</f>
        <v/>
      </c>
      <c r="O175" s="18">
        <f>IF('Shipment Data'!A175="","",'Shipment Data'!L175)</f>
        <v/>
      </c>
      <c r="P175" s="19">
        <f>IF('Shipment Data'!A175="","",O175-N175)</f>
        <v/>
      </c>
      <c r="Q175" s="6">
        <f>IF('Shipment Data'!A175="","",IF(P175&gt;1,"OVERCHARGED",IF(P175&lt;-1,"UNDERBILLED","MATCH")))</f>
        <v/>
      </c>
    </row>
    <row r="176">
      <c r="A176" s="15">
        <f>IF('Shipment Data'!A176="","",'Shipment Data'!A176)</f>
        <v/>
      </c>
      <c r="B176" s="15">
        <f>IF('Shipment Data'!A176="","",'Shipment Data'!C176)</f>
        <v/>
      </c>
      <c r="C176" s="15">
        <f>IF('Shipment Data'!A176="","",'Shipment Data'!D176)</f>
        <v/>
      </c>
      <c r="D176" s="15">
        <f>IF('Shipment Data'!A176="","",'Shipment Data'!J176)</f>
        <v/>
      </c>
      <c r="E176" s="16">
        <f>IF('Shipment Data'!A176="","",'Shipment Data'!F176)</f>
        <v/>
      </c>
      <c r="F176" s="17">
        <f>IF('Shipment Data'!A176="","",('Shipment Data'!G176*'Shipment Data'!H176*'Shipment Data'!I176)/5000)</f>
        <v/>
      </c>
      <c r="G176" s="17">
        <f>IF('Shipment Data'!A176="","",CEILING(MAX(E176,F176),0.5))</f>
        <v/>
      </c>
      <c r="H176" s="16">
        <f>IF('Shipment Data'!A176="","",'Shipment Data'!K176)</f>
        <v/>
      </c>
      <c r="I176" s="6">
        <f>IF('Shipment Data'!A176="","",IF(H176&gt;G176,"COURIER OVER-ROUNDED WEIGHT","OK"))</f>
        <v/>
      </c>
      <c r="J176" s="18">
        <f>IF('Shipment Data'!A176="","",INDEX('Rate Card'!$D$4:$D$8,MATCH(B176,'Rate Card'!$A$4:$A$8,0)))</f>
        <v/>
      </c>
      <c r="K176" s="18">
        <f>IF('Shipment Data'!A176="","",ROUND((G176-INDEX('Rate Card'!$C$4:$C$8,MATCH(B176,'Rate Card'!$A$4:$A$8,0)))/0.5,0)*INDEX('Rate Card'!$E$4:$E$8,MATCH(B176,'Rate Card'!$A$4:$A$8,0)))</f>
        <v/>
      </c>
      <c r="L176" s="18">
        <f>IF('Shipment Data'!A176="","",IF(C176="COD",MAX('Shipment Data'!E176*INDEX('Rate Card'!$F$4:$F$8,MATCH(B176,'Rate Card'!$A$4:$A$8,0)),INDEX('Rate Card'!$G$4:$G$8,MATCH(B176,'Rate Card'!$A$4:$A$8,0))),0))</f>
        <v/>
      </c>
      <c r="M176" s="18">
        <f>IF('Shipment Data'!A176="","",IF(D176="RTO",(J176+K176)*INDEX('Rate Card'!$H$4:$H$8,MATCH(B176,'Rate Card'!$A$4:$A$8,0)),0))</f>
        <v/>
      </c>
      <c r="N176" s="19">
        <f>IF('Shipment Data'!A176="","",J176+K176+L176+M176)</f>
        <v/>
      </c>
      <c r="O176" s="18">
        <f>IF('Shipment Data'!A176="","",'Shipment Data'!L176)</f>
        <v/>
      </c>
      <c r="P176" s="19">
        <f>IF('Shipment Data'!A176="","",O176-N176)</f>
        <v/>
      </c>
      <c r="Q176" s="6">
        <f>IF('Shipment Data'!A176="","",IF(P176&gt;1,"OVERCHARGED",IF(P176&lt;-1,"UNDERBILLED","MATCH")))</f>
        <v/>
      </c>
    </row>
    <row r="177">
      <c r="A177" s="15">
        <f>IF('Shipment Data'!A177="","",'Shipment Data'!A177)</f>
        <v/>
      </c>
      <c r="B177" s="15">
        <f>IF('Shipment Data'!A177="","",'Shipment Data'!C177)</f>
        <v/>
      </c>
      <c r="C177" s="15">
        <f>IF('Shipment Data'!A177="","",'Shipment Data'!D177)</f>
        <v/>
      </c>
      <c r="D177" s="15">
        <f>IF('Shipment Data'!A177="","",'Shipment Data'!J177)</f>
        <v/>
      </c>
      <c r="E177" s="16">
        <f>IF('Shipment Data'!A177="","",'Shipment Data'!F177)</f>
        <v/>
      </c>
      <c r="F177" s="17">
        <f>IF('Shipment Data'!A177="","",('Shipment Data'!G177*'Shipment Data'!H177*'Shipment Data'!I177)/5000)</f>
        <v/>
      </c>
      <c r="G177" s="17">
        <f>IF('Shipment Data'!A177="","",CEILING(MAX(E177,F177),0.5))</f>
        <v/>
      </c>
      <c r="H177" s="16">
        <f>IF('Shipment Data'!A177="","",'Shipment Data'!K177)</f>
        <v/>
      </c>
      <c r="I177" s="6">
        <f>IF('Shipment Data'!A177="","",IF(H177&gt;G177,"COURIER OVER-ROUNDED WEIGHT","OK"))</f>
        <v/>
      </c>
      <c r="J177" s="18">
        <f>IF('Shipment Data'!A177="","",INDEX('Rate Card'!$D$4:$D$8,MATCH(B177,'Rate Card'!$A$4:$A$8,0)))</f>
        <v/>
      </c>
      <c r="K177" s="18">
        <f>IF('Shipment Data'!A177="","",ROUND((G177-INDEX('Rate Card'!$C$4:$C$8,MATCH(B177,'Rate Card'!$A$4:$A$8,0)))/0.5,0)*INDEX('Rate Card'!$E$4:$E$8,MATCH(B177,'Rate Card'!$A$4:$A$8,0)))</f>
        <v/>
      </c>
      <c r="L177" s="18">
        <f>IF('Shipment Data'!A177="","",IF(C177="COD",MAX('Shipment Data'!E177*INDEX('Rate Card'!$F$4:$F$8,MATCH(B177,'Rate Card'!$A$4:$A$8,0)),INDEX('Rate Card'!$G$4:$G$8,MATCH(B177,'Rate Card'!$A$4:$A$8,0))),0))</f>
        <v/>
      </c>
      <c r="M177" s="18">
        <f>IF('Shipment Data'!A177="","",IF(D177="RTO",(J177+K177)*INDEX('Rate Card'!$H$4:$H$8,MATCH(B177,'Rate Card'!$A$4:$A$8,0)),0))</f>
        <v/>
      </c>
      <c r="N177" s="19">
        <f>IF('Shipment Data'!A177="","",J177+K177+L177+M177)</f>
        <v/>
      </c>
      <c r="O177" s="18">
        <f>IF('Shipment Data'!A177="","",'Shipment Data'!L177)</f>
        <v/>
      </c>
      <c r="P177" s="19">
        <f>IF('Shipment Data'!A177="","",O177-N177)</f>
        <v/>
      </c>
      <c r="Q177" s="6">
        <f>IF('Shipment Data'!A177="","",IF(P177&gt;1,"OVERCHARGED",IF(P177&lt;-1,"UNDERBILLED","MATCH")))</f>
        <v/>
      </c>
    </row>
    <row r="178">
      <c r="A178" s="15">
        <f>IF('Shipment Data'!A178="","",'Shipment Data'!A178)</f>
        <v/>
      </c>
      <c r="B178" s="15">
        <f>IF('Shipment Data'!A178="","",'Shipment Data'!C178)</f>
        <v/>
      </c>
      <c r="C178" s="15">
        <f>IF('Shipment Data'!A178="","",'Shipment Data'!D178)</f>
        <v/>
      </c>
      <c r="D178" s="15">
        <f>IF('Shipment Data'!A178="","",'Shipment Data'!J178)</f>
        <v/>
      </c>
      <c r="E178" s="16">
        <f>IF('Shipment Data'!A178="","",'Shipment Data'!F178)</f>
        <v/>
      </c>
      <c r="F178" s="17">
        <f>IF('Shipment Data'!A178="","",('Shipment Data'!G178*'Shipment Data'!H178*'Shipment Data'!I178)/5000)</f>
        <v/>
      </c>
      <c r="G178" s="17">
        <f>IF('Shipment Data'!A178="","",CEILING(MAX(E178,F178),0.5))</f>
        <v/>
      </c>
      <c r="H178" s="16">
        <f>IF('Shipment Data'!A178="","",'Shipment Data'!K178)</f>
        <v/>
      </c>
      <c r="I178" s="6">
        <f>IF('Shipment Data'!A178="","",IF(H178&gt;G178,"COURIER OVER-ROUNDED WEIGHT","OK"))</f>
        <v/>
      </c>
      <c r="J178" s="18">
        <f>IF('Shipment Data'!A178="","",INDEX('Rate Card'!$D$4:$D$8,MATCH(B178,'Rate Card'!$A$4:$A$8,0)))</f>
        <v/>
      </c>
      <c r="K178" s="18">
        <f>IF('Shipment Data'!A178="","",ROUND((G178-INDEX('Rate Card'!$C$4:$C$8,MATCH(B178,'Rate Card'!$A$4:$A$8,0)))/0.5,0)*INDEX('Rate Card'!$E$4:$E$8,MATCH(B178,'Rate Card'!$A$4:$A$8,0)))</f>
        <v/>
      </c>
      <c r="L178" s="18">
        <f>IF('Shipment Data'!A178="","",IF(C178="COD",MAX('Shipment Data'!E178*INDEX('Rate Card'!$F$4:$F$8,MATCH(B178,'Rate Card'!$A$4:$A$8,0)),INDEX('Rate Card'!$G$4:$G$8,MATCH(B178,'Rate Card'!$A$4:$A$8,0))),0))</f>
        <v/>
      </c>
      <c r="M178" s="18">
        <f>IF('Shipment Data'!A178="","",IF(D178="RTO",(J178+K178)*INDEX('Rate Card'!$H$4:$H$8,MATCH(B178,'Rate Card'!$A$4:$A$8,0)),0))</f>
        <v/>
      </c>
      <c r="N178" s="19">
        <f>IF('Shipment Data'!A178="","",J178+K178+L178+M178)</f>
        <v/>
      </c>
      <c r="O178" s="18">
        <f>IF('Shipment Data'!A178="","",'Shipment Data'!L178)</f>
        <v/>
      </c>
      <c r="P178" s="19">
        <f>IF('Shipment Data'!A178="","",O178-N178)</f>
        <v/>
      </c>
      <c r="Q178" s="6">
        <f>IF('Shipment Data'!A178="","",IF(P178&gt;1,"OVERCHARGED",IF(P178&lt;-1,"UNDERBILLED","MATCH")))</f>
        <v/>
      </c>
    </row>
    <row r="179">
      <c r="A179" s="15">
        <f>IF('Shipment Data'!A179="","",'Shipment Data'!A179)</f>
        <v/>
      </c>
      <c r="B179" s="15">
        <f>IF('Shipment Data'!A179="","",'Shipment Data'!C179)</f>
        <v/>
      </c>
      <c r="C179" s="15">
        <f>IF('Shipment Data'!A179="","",'Shipment Data'!D179)</f>
        <v/>
      </c>
      <c r="D179" s="15">
        <f>IF('Shipment Data'!A179="","",'Shipment Data'!J179)</f>
        <v/>
      </c>
      <c r="E179" s="16">
        <f>IF('Shipment Data'!A179="","",'Shipment Data'!F179)</f>
        <v/>
      </c>
      <c r="F179" s="17">
        <f>IF('Shipment Data'!A179="","",('Shipment Data'!G179*'Shipment Data'!H179*'Shipment Data'!I179)/5000)</f>
        <v/>
      </c>
      <c r="G179" s="17">
        <f>IF('Shipment Data'!A179="","",CEILING(MAX(E179,F179),0.5))</f>
        <v/>
      </c>
      <c r="H179" s="16">
        <f>IF('Shipment Data'!A179="","",'Shipment Data'!K179)</f>
        <v/>
      </c>
      <c r="I179" s="6">
        <f>IF('Shipment Data'!A179="","",IF(H179&gt;G179,"COURIER OVER-ROUNDED WEIGHT","OK"))</f>
        <v/>
      </c>
      <c r="J179" s="18">
        <f>IF('Shipment Data'!A179="","",INDEX('Rate Card'!$D$4:$D$8,MATCH(B179,'Rate Card'!$A$4:$A$8,0)))</f>
        <v/>
      </c>
      <c r="K179" s="18">
        <f>IF('Shipment Data'!A179="","",ROUND((G179-INDEX('Rate Card'!$C$4:$C$8,MATCH(B179,'Rate Card'!$A$4:$A$8,0)))/0.5,0)*INDEX('Rate Card'!$E$4:$E$8,MATCH(B179,'Rate Card'!$A$4:$A$8,0)))</f>
        <v/>
      </c>
      <c r="L179" s="18">
        <f>IF('Shipment Data'!A179="","",IF(C179="COD",MAX('Shipment Data'!E179*INDEX('Rate Card'!$F$4:$F$8,MATCH(B179,'Rate Card'!$A$4:$A$8,0)),INDEX('Rate Card'!$G$4:$G$8,MATCH(B179,'Rate Card'!$A$4:$A$8,0))),0))</f>
        <v/>
      </c>
      <c r="M179" s="18">
        <f>IF('Shipment Data'!A179="","",IF(D179="RTO",(J179+K179)*INDEX('Rate Card'!$H$4:$H$8,MATCH(B179,'Rate Card'!$A$4:$A$8,0)),0))</f>
        <v/>
      </c>
      <c r="N179" s="19">
        <f>IF('Shipment Data'!A179="","",J179+K179+L179+M179)</f>
        <v/>
      </c>
      <c r="O179" s="18">
        <f>IF('Shipment Data'!A179="","",'Shipment Data'!L179)</f>
        <v/>
      </c>
      <c r="P179" s="19">
        <f>IF('Shipment Data'!A179="","",O179-N179)</f>
        <v/>
      </c>
      <c r="Q179" s="6">
        <f>IF('Shipment Data'!A179="","",IF(P179&gt;1,"OVERCHARGED",IF(P179&lt;-1,"UNDERBILLED","MATCH")))</f>
        <v/>
      </c>
    </row>
    <row r="180">
      <c r="A180" s="15">
        <f>IF('Shipment Data'!A180="","",'Shipment Data'!A180)</f>
        <v/>
      </c>
      <c r="B180" s="15">
        <f>IF('Shipment Data'!A180="","",'Shipment Data'!C180)</f>
        <v/>
      </c>
      <c r="C180" s="15">
        <f>IF('Shipment Data'!A180="","",'Shipment Data'!D180)</f>
        <v/>
      </c>
      <c r="D180" s="15">
        <f>IF('Shipment Data'!A180="","",'Shipment Data'!J180)</f>
        <v/>
      </c>
      <c r="E180" s="16">
        <f>IF('Shipment Data'!A180="","",'Shipment Data'!F180)</f>
        <v/>
      </c>
      <c r="F180" s="17">
        <f>IF('Shipment Data'!A180="","",('Shipment Data'!G180*'Shipment Data'!H180*'Shipment Data'!I180)/5000)</f>
        <v/>
      </c>
      <c r="G180" s="17">
        <f>IF('Shipment Data'!A180="","",CEILING(MAX(E180,F180),0.5))</f>
        <v/>
      </c>
      <c r="H180" s="16">
        <f>IF('Shipment Data'!A180="","",'Shipment Data'!K180)</f>
        <v/>
      </c>
      <c r="I180" s="6">
        <f>IF('Shipment Data'!A180="","",IF(H180&gt;G180,"COURIER OVER-ROUNDED WEIGHT","OK"))</f>
        <v/>
      </c>
      <c r="J180" s="18">
        <f>IF('Shipment Data'!A180="","",INDEX('Rate Card'!$D$4:$D$8,MATCH(B180,'Rate Card'!$A$4:$A$8,0)))</f>
        <v/>
      </c>
      <c r="K180" s="18">
        <f>IF('Shipment Data'!A180="","",ROUND((G180-INDEX('Rate Card'!$C$4:$C$8,MATCH(B180,'Rate Card'!$A$4:$A$8,0)))/0.5,0)*INDEX('Rate Card'!$E$4:$E$8,MATCH(B180,'Rate Card'!$A$4:$A$8,0)))</f>
        <v/>
      </c>
      <c r="L180" s="18">
        <f>IF('Shipment Data'!A180="","",IF(C180="COD",MAX('Shipment Data'!E180*INDEX('Rate Card'!$F$4:$F$8,MATCH(B180,'Rate Card'!$A$4:$A$8,0)),INDEX('Rate Card'!$G$4:$G$8,MATCH(B180,'Rate Card'!$A$4:$A$8,0))),0))</f>
        <v/>
      </c>
      <c r="M180" s="18">
        <f>IF('Shipment Data'!A180="","",IF(D180="RTO",(J180+K180)*INDEX('Rate Card'!$H$4:$H$8,MATCH(B180,'Rate Card'!$A$4:$A$8,0)),0))</f>
        <v/>
      </c>
      <c r="N180" s="19">
        <f>IF('Shipment Data'!A180="","",J180+K180+L180+M180)</f>
        <v/>
      </c>
      <c r="O180" s="18">
        <f>IF('Shipment Data'!A180="","",'Shipment Data'!L180)</f>
        <v/>
      </c>
      <c r="P180" s="19">
        <f>IF('Shipment Data'!A180="","",O180-N180)</f>
        <v/>
      </c>
      <c r="Q180" s="6">
        <f>IF('Shipment Data'!A180="","",IF(P180&gt;1,"OVERCHARGED",IF(P180&lt;-1,"UNDERBILLED","MATCH")))</f>
        <v/>
      </c>
    </row>
    <row r="181">
      <c r="A181" s="15">
        <f>IF('Shipment Data'!A181="","",'Shipment Data'!A181)</f>
        <v/>
      </c>
      <c r="B181" s="15">
        <f>IF('Shipment Data'!A181="","",'Shipment Data'!C181)</f>
        <v/>
      </c>
      <c r="C181" s="15">
        <f>IF('Shipment Data'!A181="","",'Shipment Data'!D181)</f>
        <v/>
      </c>
      <c r="D181" s="15">
        <f>IF('Shipment Data'!A181="","",'Shipment Data'!J181)</f>
        <v/>
      </c>
      <c r="E181" s="16">
        <f>IF('Shipment Data'!A181="","",'Shipment Data'!F181)</f>
        <v/>
      </c>
      <c r="F181" s="17">
        <f>IF('Shipment Data'!A181="","",('Shipment Data'!G181*'Shipment Data'!H181*'Shipment Data'!I181)/5000)</f>
        <v/>
      </c>
      <c r="G181" s="17">
        <f>IF('Shipment Data'!A181="","",CEILING(MAX(E181,F181),0.5))</f>
        <v/>
      </c>
      <c r="H181" s="16">
        <f>IF('Shipment Data'!A181="","",'Shipment Data'!K181)</f>
        <v/>
      </c>
      <c r="I181" s="6">
        <f>IF('Shipment Data'!A181="","",IF(H181&gt;G181,"COURIER OVER-ROUNDED WEIGHT","OK"))</f>
        <v/>
      </c>
      <c r="J181" s="18">
        <f>IF('Shipment Data'!A181="","",INDEX('Rate Card'!$D$4:$D$8,MATCH(B181,'Rate Card'!$A$4:$A$8,0)))</f>
        <v/>
      </c>
      <c r="K181" s="18">
        <f>IF('Shipment Data'!A181="","",ROUND((G181-INDEX('Rate Card'!$C$4:$C$8,MATCH(B181,'Rate Card'!$A$4:$A$8,0)))/0.5,0)*INDEX('Rate Card'!$E$4:$E$8,MATCH(B181,'Rate Card'!$A$4:$A$8,0)))</f>
        <v/>
      </c>
      <c r="L181" s="18">
        <f>IF('Shipment Data'!A181="","",IF(C181="COD",MAX('Shipment Data'!E181*INDEX('Rate Card'!$F$4:$F$8,MATCH(B181,'Rate Card'!$A$4:$A$8,0)),INDEX('Rate Card'!$G$4:$G$8,MATCH(B181,'Rate Card'!$A$4:$A$8,0))),0))</f>
        <v/>
      </c>
      <c r="M181" s="18">
        <f>IF('Shipment Data'!A181="","",IF(D181="RTO",(J181+K181)*INDEX('Rate Card'!$H$4:$H$8,MATCH(B181,'Rate Card'!$A$4:$A$8,0)),0))</f>
        <v/>
      </c>
      <c r="N181" s="19">
        <f>IF('Shipment Data'!A181="","",J181+K181+L181+M181)</f>
        <v/>
      </c>
      <c r="O181" s="18">
        <f>IF('Shipment Data'!A181="","",'Shipment Data'!L181)</f>
        <v/>
      </c>
      <c r="P181" s="19">
        <f>IF('Shipment Data'!A181="","",O181-N181)</f>
        <v/>
      </c>
      <c r="Q181" s="6">
        <f>IF('Shipment Data'!A181="","",IF(P181&gt;1,"OVERCHARGED",IF(P181&lt;-1,"UNDERBILLED","MATCH")))</f>
        <v/>
      </c>
    </row>
    <row r="182">
      <c r="A182" s="15">
        <f>IF('Shipment Data'!A182="","",'Shipment Data'!A182)</f>
        <v/>
      </c>
      <c r="B182" s="15">
        <f>IF('Shipment Data'!A182="","",'Shipment Data'!C182)</f>
        <v/>
      </c>
      <c r="C182" s="15">
        <f>IF('Shipment Data'!A182="","",'Shipment Data'!D182)</f>
        <v/>
      </c>
      <c r="D182" s="15">
        <f>IF('Shipment Data'!A182="","",'Shipment Data'!J182)</f>
        <v/>
      </c>
      <c r="E182" s="16">
        <f>IF('Shipment Data'!A182="","",'Shipment Data'!F182)</f>
        <v/>
      </c>
      <c r="F182" s="17">
        <f>IF('Shipment Data'!A182="","",('Shipment Data'!G182*'Shipment Data'!H182*'Shipment Data'!I182)/5000)</f>
        <v/>
      </c>
      <c r="G182" s="17">
        <f>IF('Shipment Data'!A182="","",CEILING(MAX(E182,F182),0.5))</f>
        <v/>
      </c>
      <c r="H182" s="16">
        <f>IF('Shipment Data'!A182="","",'Shipment Data'!K182)</f>
        <v/>
      </c>
      <c r="I182" s="6">
        <f>IF('Shipment Data'!A182="","",IF(H182&gt;G182,"COURIER OVER-ROUNDED WEIGHT","OK"))</f>
        <v/>
      </c>
      <c r="J182" s="18">
        <f>IF('Shipment Data'!A182="","",INDEX('Rate Card'!$D$4:$D$8,MATCH(B182,'Rate Card'!$A$4:$A$8,0)))</f>
        <v/>
      </c>
      <c r="K182" s="18">
        <f>IF('Shipment Data'!A182="","",ROUND((G182-INDEX('Rate Card'!$C$4:$C$8,MATCH(B182,'Rate Card'!$A$4:$A$8,0)))/0.5,0)*INDEX('Rate Card'!$E$4:$E$8,MATCH(B182,'Rate Card'!$A$4:$A$8,0)))</f>
        <v/>
      </c>
      <c r="L182" s="18">
        <f>IF('Shipment Data'!A182="","",IF(C182="COD",MAX('Shipment Data'!E182*INDEX('Rate Card'!$F$4:$F$8,MATCH(B182,'Rate Card'!$A$4:$A$8,0)),INDEX('Rate Card'!$G$4:$G$8,MATCH(B182,'Rate Card'!$A$4:$A$8,0))),0))</f>
        <v/>
      </c>
      <c r="M182" s="18">
        <f>IF('Shipment Data'!A182="","",IF(D182="RTO",(J182+K182)*INDEX('Rate Card'!$H$4:$H$8,MATCH(B182,'Rate Card'!$A$4:$A$8,0)),0))</f>
        <v/>
      </c>
      <c r="N182" s="19">
        <f>IF('Shipment Data'!A182="","",J182+K182+L182+M182)</f>
        <v/>
      </c>
      <c r="O182" s="18">
        <f>IF('Shipment Data'!A182="","",'Shipment Data'!L182)</f>
        <v/>
      </c>
      <c r="P182" s="19">
        <f>IF('Shipment Data'!A182="","",O182-N182)</f>
        <v/>
      </c>
      <c r="Q182" s="6">
        <f>IF('Shipment Data'!A182="","",IF(P182&gt;1,"OVERCHARGED",IF(P182&lt;-1,"UNDERBILLED","MATCH")))</f>
        <v/>
      </c>
    </row>
    <row r="183">
      <c r="A183" s="15">
        <f>IF('Shipment Data'!A183="","",'Shipment Data'!A183)</f>
        <v/>
      </c>
      <c r="B183" s="15">
        <f>IF('Shipment Data'!A183="","",'Shipment Data'!C183)</f>
        <v/>
      </c>
      <c r="C183" s="15">
        <f>IF('Shipment Data'!A183="","",'Shipment Data'!D183)</f>
        <v/>
      </c>
      <c r="D183" s="15">
        <f>IF('Shipment Data'!A183="","",'Shipment Data'!J183)</f>
        <v/>
      </c>
      <c r="E183" s="16">
        <f>IF('Shipment Data'!A183="","",'Shipment Data'!F183)</f>
        <v/>
      </c>
      <c r="F183" s="17">
        <f>IF('Shipment Data'!A183="","",('Shipment Data'!G183*'Shipment Data'!H183*'Shipment Data'!I183)/5000)</f>
        <v/>
      </c>
      <c r="G183" s="17">
        <f>IF('Shipment Data'!A183="","",CEILING(MAX(E183,F183),0.5))</f>
        <v/>
      </c>
      <c r="H183" s="16">
        <f>IF('Shipment Data'!A183="","",'Shipment Data'!K183)</f>
        <v/>
      </c>
      <c r="I183" s="6">
        <f>IF('Shipment Data'!A183="","",IF(H183&gt;G183,"COURIER OVER-ROUNDED WEIGHT","OK"))</f>
        <v/>
      </c>
      <c r="J183" s="18">
        <f>IF('Shipment Data'!A183="","",INDEX('Rate Card'!$D$4:$D$8,MATCH(B183,'Rate Card'!$A$4:$A$8,0)))</f>
        <v/>
      </c>
      <c r="K183" s="18">
        <f>IF('Shipment Data'!A183="","",ROUND((G183-INDEX('Rate Card'!$C$4:$C$8,MATCH(B183,'Rate Card'!$A$4:$A$8,0)))/0.5,0)*INDEX('Rate Card'!$E$4:$E$8,MATCH(B183,'Rate Card'!$A$4:$A$8,0)))</f>
        <v/>
      </c>
      <c r="L183" s="18">
        <f>IF('Shipment Data'!A183="","",IF(C183="COD",MAX('Shipment Data'!E183*INDEX('Rate Card'!$F$4:$F$8,MATCH(B183,'Rate Card'!$A$4:$A$8,0)),INDEX('Rate Card'!$G$4:$G$8,MATCH(B183,'Rate Card'!$A$4:$A$8,0))),0))</f>
        <v/>
      </c>
      <c r="M183" s="18">
        <f>IF('Shipment Data'!A183="","",IF(D183="RTO",(J183+K183)*INDEX('Rate Card'!$H$4:$H$8,MATCH(B183,'Rate Card'!$A$4:$A$8,0)),0))</f>
        <v/>
      </c>
      <c r="N183" s="19">
        <f>IF('Shipment Data'!A183="","",J183+K183+L183+M183)</f>
        <v/>
      </c>
      <c r="O183" s="18">
        <f>IF('Shipment Data'!A183="","",'Shipment Data'!L183)</f>
        <v/>
      </c>
      <c r="P183" s="19">
        <f>IF('Shipment Data'!A183="","",O183-N183)</f>
        <v/>
      </c>
      <c r="Q183" s="6">
        <f>IF('Shipment Data'!A183="","",IF(P183&gt;1,"OVERCHARGED",IF(P183&lt;-1,"UNDERBILLED","MATCH")))</f>
        <v/>
      </c>
    </row>
    <row r="184">
      <c r="A184" s="15">
        <f>IF('Shipment Data'!A184="","",'Shipment Data'!A184)</f>
        <v/>
      </c>
      <c r="B184" s="15">
        <f>IF('Shipment Data'!A184="","",'Shipment Data'!C184)</f>
        <v/>
      </c>
      <c r="C184" s="15">
        <f>IF('Shipment Data'!A184="","",'Shipment Data'!D184)</f>
        <v/>
      </c>
      <c r="D184" s="15">
        <f>IF('Shipment Data'!A184="","",'Shipment Data'!J184)</f>
        <v/>
      </c>
      <c r="E184" s="16">
        <f>IF('Shipment Data'!A184="","",'Shipment Data'!F184)</f>
        <v/>
      </c>
      <c r="F184" s="17">
        <f>IF('Shipment Data'!A184="","",('Shipment Data'!G184*'Shipment Data'!H184*'Shipment Data'!I184)/5000)</f>
        <v/>
      </c>
      <c r="G184" s="17">
        <f>IF('Shipment Data'!A184="","",CEILING(MAX(E184,F184),0.5))</f>
        <v/>
      </c>
      <c r="H184" s="16">
        <f>IF('Shipment Data'!A184="","",'Shipment Data'!K184)</f>
        <v/>
      </c>
      <c r="I184" s="6">
        <f>IF('Shipment Data'!A184="","",IF(H184&gt;G184,"COURIER OVER-ROUNDED WEIGHT","OK"))</f>
        <v/>
      </c>
      <c r="J184" s="18">
        <f>IF('Shipment Data'!A184="","",INDEX('Rate Card'!$D$4:$D$8,MATCH(B184,'Rate Card'!$A$4:$A$8,0)))</f>
        <v/>
      </c>
      <c r="K184" s="18">
        <f>IF('Shipment Data'!A184="","",ROUND((G184-INDEX('Rate Card'!$C$4:$C$8,MATCH(B184,'Rate Card'!$A$4:$A$8,0)))/0.5,0)*INDEX('Rate Card'!$E$4:$E$8,MATCH(B184,'Rate Card'!$A$4:$A$8,0)))</f>
        <v/>
      </c>
      <c r="L184" s="18">
        <f>IF('Shipment Data'!A184="","",IF(C184="COD",MAX('Shipment Data'!E184*INDEX('Rate Card'!$F$4:$F$8,MATCH(B184,'Rate Card'!$A$4:$A$8,0)),INDEX('Rate Card'!$G$4:$G$8,MATCH(B184,'Rate Card'!$A$4:$A$8,0))),0))</f>
        <v/>
      </c>
      <c r="M184" s="18">
        <f>IF('Shipment Data'!A184="","",IF(D184="RTO",(J184+K184)*INDEX('Rate Card'!$H$4:$H$8,MATCH(B184,'Rate Card'!$A$4:$A$8,0)),0))</f>
        <v/>
      </c>
      <c r="N184" s="19">
        <f>IF('Shipment Data'!A184="","",J184+K184+L184+M184)</f>
        <v/>
      </c>
      <c r="O184" s="18">
        <f>IF('Shipment Data'!A184="","",'Shipment Data'!L184)</f>
        <v/>
      </c>
      <c r="P184" s="19">
        <f>IF('Shipment Data'!A184="","",O184-N184)</f>
        <v/>
      </c>
      <c r="Q184" s="6">
        <f>IF('Shipment Data'!A184="","",IF(P184&gt;1,"OVERCHARGED",IF(P184&lt;-1,"UNDERBILLED","MATCH")))</f>
        <v/>
      </c>
    </row>
    <row r="185">
      <c r="A185" s="15">
        <f>IF('Shipment Data'!A185="","",'Shipment Data'!A185)</f>
        <v/>
      </c>
      <c r="B185" s="15">
        <f>IF('Shipment Data'!A185="","",'Shipment Data'!C185)</f>
        <v/>
      </c>
      <c r="C185" s="15">
        <f>IF('Shipment Data'!A185="","",'Shipment Data'!D185)</f>
        <v/>
      </c>
      <c r="D185" s="15">
        <f>IF('Shipment Data'!A185="","",'Shipment Data'!J185)</f>
        <v/>
      </c>
      <c r="E185" s="16">
        <f>IF('Shipment Data'!A185="","",'Shipment Data'!F185)</f>
        <v/>
      </c>
      <c r="F185" s="17">
        <f>IF('Shipment Data'!A185="","",('Shipment Data'!G185*'Shipment Data'!H185*'Shipment Data'!I185)/5000)</f>
        <v/>
      </c>
      <c r="G185" s="17">
        <f>IF('Shipment Data'!A185="","",CEILING(MAX(E185,F185),0.5))</f>
        <v/>
      </c>
      <c r="H185" s="16">
        <f>IF('Shipment Data'!A185="","",'Shipment Data'!K185)</f>
        <v/>
      </c>
      <c r="I185" s="6">
        <f>IF('Shipment Data'!A185="","",IF(H185&gt;G185,"COURIER OVER-ROUNDED WEIGHT","OK"))</f>
        <v/>
      </c>
      <c r="J185" s="18">
        <f>IF('Shipment Data'!A185="","",INDEX('Rate Card'!$D$4:$D$8,MATCH(B185,'Rate Card'!$A$4:$A$8,0)))</f>
        <v/>
      </c>
      <c r="K185" s="18">
        <f>IF('Shipment Data'!A185="","",ROUND((G185-INDEX('Rate Card'!$C$4:$C$8,MATCH(B185,'Rate Card'!$A$4:$A$8,0)))/0.5,0)*INDEX('Rate Card'!$E$4:$E$8,MATCH(B185,'Rate Card'!$A$4:$A$8,0)))</f>
        <v/>
      </c>
      <c r="L185" s="18">
        <f>IF('Shipment Data'!A185="","",IF(C185="COD",MAX('Shipment Data'!E185*INDEX('Rate Card'!$F$4:$F$8,MATCH(B185,'Rate Card'!$A$4:$A$8,0)),INDEX('Rate Card'!$G$4:$G$8,MATCH(B185,'Rate Card'!$A$4:$A$8,0))),0))</f>
        <v/>
      </c>
      <c r="M185" s="18">
        <f>IF('Shipment Data'!A185="","",IF(D185="RTO",(J185+K185)*INDEX('Rate Card'!$H$4:$H$8,MATCH(B185,'Rate Card'!$A$4:$A$8,0)),0))</f>
        <v/>
      </c>
      <c r="N185" s="19">
        <f>IF('Shipment Data'!A185="","",J185+K185+L185+M185)</f>
        <v/>
      </c>
      <c r="O185" s="18">
        <f>IF('Shipment Data'!A185="","",'Shipment Data'!L185)</f>
        <v/>
      </c>
      <c r="P185" s="19">
        <f>IF('Shipment Data'!A185="","",O185-N185)</f>
        <v/>
      </c>
      <c r="Q185" s="6">
        <f>IF('Shipment Data'!A185="","",IF(P185&gt;1,"OVERCHARGED",IF(P185&lt;-1,"UNDERBILLED","MATCH")))</f>
        <v/>
      </c>
    </row>
    <row r="186">
      <c r="A186" s="15">
        <f>IF('Shipment Data'!A186="","",'Shipment Data'!A186)</f>
        <v/>
      </c>
      <c r="B186" s="15">
        <f>IF('Shipment Data'!A186="","",'Shipment Data'!C186)</f>
        <v/>
      </c>
      <c r="C186" s="15">
        <f>IF('Shipment Data'!A186="","",'Shipment Data'!D186)</f>
        <v/>
      </c>
      <c r="D186" s="15">
        <f>IF('Shipment Data'!A186="","",'Shipment Data'!J186)</f>
        <v/>
      </c>
      <c r="E186" s="16">
        <f>IF('Shipment Data'!A186="","",'Shipment Data'!F186)</f>
        <v/>
      </c>
      <c r="F186" s="17">
        <f>IF('Shipment Data'!A186="","",('Shipment Data'!G186*'Shipment Data'!H186*'Shipment Data'!I186)/5000)</f>
        <v/>
      </c>
      <c r="G186" s="17">
        <f>IF('Shipment Data'!A186="","",CEILING(MAX(E186,F186),0.5))</f>
        <v/>
      </c>
      <c r="H186" s="16">
        <f>IF('Shipment Data'!A186="","",'Shipment Data'!K186)</f>
        <v/>
      </c>
      <c r="I186" s="6">
        <f>IF('Shipment Data'!A186="","",IF(H186&gt;G186,"COURIER OVER-ROUNDED WEIGHT","OK"))</f>
        <v/>
      </c>
      <c r="J186" s="18">
        <f>IF('Shipment Data'!A186="","",INDEX('Rate Card'!$D$4:$D$8,MATCH(B186,'Rate Card'!$A$4:$A$8,0)))</f>
        <v/>
      </c>
      <c r="K186" s="18">
        <f>IF('Shipment Data'!A186="","",ROUND((G186-INDEX('Rate Card'!$C$4:$C$8,MATCH(B186,'Rate Card'!$A$4:$A$8,0)))/0.5,0)*INDEX('Rate Card'!$E$4:$E$8,MATCH(B186,'Rate Card'!$A$4:$A$8,0)))</f>
        <v/>
      </c>
      <c r="L186" s="18">
        <f>IF('Shipment Data'!A186="","",IF(C186="COD",MAX('Shipment Data'!E186*INDEX('Rate Card'!$F$4:$F$8,MATCH(B186,'Rate Card'!$A$4:$A$8,0)),INDEX('Rate Card'!$G$4:$G$8,MATCH(B186,'Rate Card'!$A$4:$A$8,0))),0))</f>
        <v/>
      </c>
      <c r="M186" s="18">
        <f>IF('Shipment Data'!A186="","",IF(D186="RTO",(J186+K186)*INDEX('Rate Card'!$H$4:$H$8,MATCH(B186,'Rate Card'!$A$4:$A$8,0)),0))</f>
        <v/>
      </c>
      <c r="N186" s="19">
        <f>IF('Shipment Data'!A186="","",J186+K186+L186+M186)</f>
        <v/>
      </c>
      <c r="O186" s="18">
        <f>IF('Shipment Data'!A186="","",'Shipment Data'!L186)</f>
        <v/>
      </c>
      <c r="P186" s="19">
        <f>IF('Shipment Data'!A186="","",O186-N186)</f>
        <v/>
      </c>
      <c r="Q186" s="6">
        <f>IF('Shipment Data'!A186="","",IF(P186&gt;1,"OVERCHARGED",IF(P186&lt;-1,"UNDERBILLED","MATCH")))</f>
        <v/>
      </c>
    </row>
    <row r="187">
      <c r="A187" s="15">
        <f>IF('Shipment Data'!A187="","",'Shipment Data'!A187)</f>
        <v/>
      </c>
      <c r="B187" s="15">
        <f>IF('Shipment Data'!A187="","",'Shipment Data'!C187)</f>
        <v/>
      </c>
      <c r="C187" s="15">
        <f>IF('Shipment Data'!A187="","",'Shipment Data'!D187)</f>
        <v/>
      </c>
      <c r="D187" s="15">
        <f>IF('Shipment Data'!A187="","",'Shipment Data'!J187)</f>
        <v/>
      </c>
      <c r="E187" s="16">
        <f>IF('Shipment Data'!A187="","",'Shipment Data'!F187)</f>
        <v/>
      </c>
      <c r="F187" s="17">
        <f>IF('Shipment Data'!A187="","",('Shipment Data'!G187*'Shipment Data'!H187*'Shipment Data'!I187)/5000)</f>
        <v/>
      </c>
      <c r="G187" s="17">
        <f>IF('Shipment Data'!A187="","",CEILING(MAX(E187,F187),0.5))</f>
        <v/>
      </c>
      <c r="H187" s="16">
        <f>IF('Shipment Data'!A187="","",'Shipment Data'!K187)</f>
        <v/>
      </c>
      <c r="I187" s="6">
        <f>IF('Shipment Data'!A187="","",IF(H187&gt;G187,"COURIER OVER-ROUNDED WEIGHT","OK"))</f>
        <v/>
      </c>
      <c r="J187" s="18">
        <f>IF('Shipment Data'!A187="","",INDEX('Rate Card'!$D$4:$D$8,MATCH(B187,'Rate Card'!$A$4:$A$8,0)))</f>
        <v/>
      </c>
      <c r="K187" s="18">
        <f>IF('Shipment Data'!A187="","",ROUND((G187-INDEX('Rate Card'!$C$4:$C$8,MATCH(B187,'Rate Card'!$A$4:$A$8,0)))/0.5,0)*INDEX('Rate Card'!$E$4:$E$8,MATCH(B187,'Rate Card'!$A$4:$A$8,0)))</f>
        <v/>
      </c>
      <c r="L187" s="18">
        <f>IF('Shipment Data'!A187="","",IF(C187="COD",MAX('Shipment Data'!E187*INDEX('Rate Card'!$F$4:$F$8,MATCH(B187,'Rate Card'!$A$4:$A$8,0)),INDEX('Rate Card'!$G$4:$G$8,MATCH(B187,'Rate Card'!$A$4:$A$8,0))),0))</f>
        <v/>
      </c>
      <c r="M187" s="18">
        <f>IF('Shipment Data'!A187="","",IF(D187="RTO",(J187+K187)*INDEX('Rate Card'!$H$4:$H$8,MATCH(B187,'Rate Card'!$A$4:$A$8,0)),0))</f>
        <v/>
      </c>
      <c r="N187" s="19">
        <f>IF('Shipment Data'!A187="","",J187+K187+L187+M187)</f>
        <v/>
      </c>
      <c r="O187" s="18">
        <f>IF('Shipment Data'!A187="","",'Shipment Data'!L187)</f>
        <v/>
      </c>
      <c r="P187" s="19">
        <f>IF('Shipment Data'!A187="","",O187-N187)</f>
        <v/>
      </c>
      <c r="Q187" s="6">
        <f>IF('Shipment Data'!A187="","",IF(P187&gt;1,"OVERCHARGED",IF(P187&lt;-1,"UNDERBILLED","MATCH")))</f>
        <v/>
      </c>
    </row>
    <row r="188">
      <c r="A188" s="15">
        <f>IF('Shipment Data'!A188="","",'Shipment Data'!A188)</f>
        <v/>
      </c>
      <c r="B188" s="15">
        <f>IF('Shipment Data'!A188="","",'Shipment Data'!C188)</f>
        <v/>
      </c>
      <c r="C188" s="15">
        <f>IF('Shipment Data'!A188="","",'Shipment Data'!D188)</f>
        <v/>
      </c>
      <c r="D188" s="15">
        <f>IF('Shipment Data'!A188="","",'Shipment Data'!J188)</f>
        <v/>
      </c>
      <c r="E188" s="16">
        <f>IF('Shipment Data'!A188="","",'Shipment Data'!F188)</f>
        <v/>
      </c>
      <c r="F188" s="17">
        <f>IF('Shipment Data'!A188="","",('Shipment Data'!G188*'Shipment Data'!H188*'Shipment Data'!I188)/5000)</f>
        <v/>
      </c>
      <c r="G188" s="17">
        <f>IF('Shipment Data'!A188="","",CEILING(MAX(E188,F188),0.5))</f>
        <v/>
      </c>
      <c r="H188" s="16">
        <f>IF('Shipment Data'!A188="","",'Shipment Data'!K188)</f>
        <v/>
      </c>
      <c r="I188" s="6">
        <f>IF('Shipment Data'!A188="","",IF(H188&gt;G188,"COURIER OVER-ROUNDED WEIGHT","OK"))</f>
        <v/>
      </c>
      <c r="J188" s="18">
        <f>IF('Shipment Data'!A188="","",INDEX('Rate Card'!$D$4:$D$8,MATCH(B188,'Rate Card'!$A$4:$A$8,0)))</f>
        <v/>
      </c>
      <c r="K188" s="18">
        <f>IF('Shipment Data'!A188="","",ROUND((G188-INDEX('Rate Card'!$C$4:$C$8,MATCH(B188,'Rate Card'!$A$4:$A$8,0)))/0.5,0)*INDEX('Rate Card'!$E$4:$E$8,MATCH(B188,'Rate Card'!$A$4:$A$8,0)))</f>
        <v/>
      </c>
      <c r="L188" s="18">
        <f>IF('Shipment Data'!A188="","",IF(C188="COD",MAX('Shipment Data'!E188*INDEX('Rate Card'!$F$4:$F$8,MATCH(B188,'Rate Card'!$A$4:$A$8,0)),INDEX('Rate Card'!$G$4:$G$8,MATCH(B188,'Rate Card'!$A$4:$A$8,0))),0))</f>
        <v/>
      </c>
      <c r="M188" s="18">
        <f>IF('Shipment Data'!A188="","",IF(D188="RTO",(J188+K188)*INDEX('Rate Card'!$H$4:$H$8,MATCH(B188,'Rate Card'!$A$4:$A$8,0)),0))</f>
        <v/>
      </c>
      <c r="N188" s="19">
        <f>IF('Shipment Data'!A188="","",J188+K188+L188+M188)</f>
        <v/>
      </c>
      <c r="O188" s="18">
        <f>IF('Shipment Data'!A188="","",'Shipment Data'!L188)</f>
        <v/>
      </c>
      <c r="P188" s="19">
        <f>IF('Shipment Data'!A188="","",O188-N188)</f>
        <v/>
      </c>
      <c r="Q188" s="6">
        <f>IF('Shipment Data'!A188="","",IF(P188&gt;1,"OVERCHARGED",IF(P188&lt;-1,"UNDERBILLED","MATCH")))</f>
        <v/>
      </c>
    </row>
    <row r="189">
      <c r="A189" s="15">
        <f>IF('Shipment Data'!A189="","",'Shipment Data'!A189)</f>
        <v/>
      </c>
      <c r="B189" s="15">
        <f>IF('Shipment Data'!A189="","",'Shipment Data'!C189)</f>
        <v/>
      </c>
      <c r="C189" s="15">
        <f>IF('Shipment Data'!A189="","",'Shipment Data'!D189)</f>
        <v/>
      </c>
      <c r="D189" s="15">
        <f>IF('Shipment Data'!A189="","",'Shipment Data'!J189)</f>
        <v/>
      </c>
      <c r="E189" s="16">
        <f>IF('Shipment Data'!A189="","",'Shipment Data'!F189)</f>
        <v/>
      </c>
      <c r="F189" s="17">
        <f>IF('Shipment Data'!A189="","",('Shipment Data'!G189*'Shipment Data'!H189*'Shipment Data'!I189)/5000)</f>
        <v/>
      </c>
      <c r="G189" s="17">
        <f>IF('Shipment Data'!A189="","",CEILING(MAX(E189,F189),0.5))</f>
        <v/>
      </c>
      <c r="H189" s="16">
        <f>IF('Shipment Data'!A189="","",'Shipment Data'!K189)</f>
        <v/>
      </c>
      <c r="I189" s="6">
        <f>IF('Shipment Data'!A189="","",IF(H189&gt;G189,"COURIER OVER-ROUNDED WEIGHT","OK"))</f>
        <v/>
      </c>
      <c r="J189" s="18">
        <f>IF('Shipment Data'!A189="","",INDEX('Rate Card'!$D$4:$D$8,MATCH(B189,'Rate Card'!$A$4:$A$8,0)))</f>
        <v/>
      </c>
      <c r="K189" s="18">
        <f>IF('Shipment Data'!A189="","",ROUND((G189-INDEX('Rate Card'!$C$4:$C$8,MATCH(B189,'Rate Card'!$A$4:$A$8,0)))/0.5,0)*INDEX('Rate Card'!$E$4:$E$8,MATCH(B189,'Rate Card'!$A$4:$A$8,0)))</f>
        <v/>
      </c>
      <c r="L189" s="18">
        <f>IF('Shipment Data'!A189="","",IF(C189="COD",MAX('Shipment Data'!E189*INDEX('Rate Card'!$F$4:$F$8,MATCH(B189,'Rate Card'!$A$4:$A$8,0)),INDEX('Rate Card'!$G$4:$G$8,MATCH(B189,'Rate Card'!$A$4:$A$8,0))),0))</f>
        <v/>
      </c>
      <c r="M189" s="18">
        <f>IF('Shipment Data'!A189="","",IF(D189="RTO",(J189+K189)*INDEX('Rate Card'!$H$4:$H$8,MATCH(B189,'Rate Card'!$A$4:$A$8,0)),0))</f>
        <v/>
      </c>
      <c r="N189" s="19">
        <f>IF('Shipment Data'!A189="","",J189+K189+L189+M189)</f>
        <v/>
      </c>
      <c r="O189" s="18">
        <f>IF('Shipment Data'!A189="","",'Shipment Data'!L189)</f>
        <v/>
      </c>
      <c r="P189" s="19">
        <f>IF('Shipment Data'!A189="","",O189-N189)</f>
        <v/>
      </c>
      <c r="Q189" s="6">
        <f>IF('Shipment Data'!A189="","",IF(P189&gt;1,"OVERCHARGED",IF(P189&lt;-1,"UNDERBILLED","MATCH")))</f>
        <v/>
      </c>
    </row>
    <row r="190">
      <c r="A190" s="15">
        <f>IF('Shipment Data'!A190="","",'Shipment Data'!A190)</f>
        <v/>
      </c>
      <c r="B190" s="15">
        <f>IF('Shipment Data'!A190="","",'Shipment Data'!C190)</f>
        <v/>
      </c>
      <c r="C190" s="15">
        <f>IF('Shipment Data'!A190="","",'Shipment Data'!D190)</f>
        <v/>
      </c>
      <c r="D190" s="15">
        <f>IF('Shipment Data'!A190="","",'Shipment Data'!J190)</f>
        <v/>
      </c>
      <c r="E190" s="16">
        <f>IF('Shipment Data'!A190="","",'Shipment Data'!F190)</f>
        <v/>
      </c>
      <c r="F190" s="17">
        <f>IF('Shipment Data'!A190="","",('Shipment Data'!G190*'Shipment Data'!H190*'Shipment Data'!I190)/5000)</f>
        <v/>
      </c>
      <c r="G190" s="17">
        <f>IF('Shipment Data'!A190="","",CEILING(MAX(E190,F190),0.5))</f>
        <v/>
      </c>
      <c r="H190" s="16">
        <f>IF('Shipment Data'!A190="","",'Shipment Data'!K190)</f>
        <v/>
      </c>
      <c r="I190" s="6">
        <f>IF('Shipment Data'!A190="","",IF(H190&gt;G190,"COURIER OVER-ROUNDED WEIGHT","OK"))</f>
        <v/>
      </c>
      <c r="J190" s="18">
        <f>IF('Shipment Data'!A190="","",INDEX('Rate Card'!$D$4:$D$8,MATCH(B190,'Rate Card'!$A$4:$A$8,0)))</f>
        <v/>
      </c>
      <c r="K190" s="18">
        <f>IF('Shipment Data'!A190="","",ROUND((G190-INDEX('Rate Card'!$C$4:$C$8,MATCH(B190,'Rate Card'!$A$4:$A$8,0)))/0.5,0)*INDEX('Rate Card'!$E$4:$E$8,MATCH(B190,'Rate Card'!$A$4:$A$8,0)))</f>
        <v/>
      </c>
      <c r="L190" s="18">
        <f>IF('Shipment Data'!A190="","",IF(C190="COD",MAX('Shipment Data'!E190*INDEX('Rate Card'!$F$4:$F$8,MATCH(B190,'Rate Card'!$A$4:$A$8,0)),INDEX('Rate Card'!$G$4:$G$8,MATCH(B190,'Rate Card'!$A$4:$A$8,0))),0))</f>
        <v/>
      </c>
      <c r="M190" s="18">
        <f>IF('Shipment Data'!A190="","",IF(D190="RTO",(J190+K190)*INDEX('Rate Card'!$H$4:$H$8,MATCH(B190,'Rate Card'!$A$4:$A$8,0)),0))</f>
        <v/>
      </c>
      <c r="N190" s="19">
        <f>IF('Shipment Data'!A190="","",J190+K190+L190+M190)</f>
        <v/>
      </c>
      <c r="O190" s="18">
        <f>IF('Shipment Data'!A190="","",'Shipment Data'!L190)</f>
        <v/>
      </c>
      <c r="P190" s="19">
        <f>IF('Shipment Data'!A190="","",O190-N190)</f>
        <v/>
      </c>
      <c r="Q190" s="6">
        <f>IF('Shipment Data'!A190="","",IF(P190&gt;1,"OVERCHARGED",IF(P190&lt;-1,"UNDERBILLED","MATCH")))</f>
        <v/>
      </c>
    </row>
    <row r="191">
      <c r="A191" s="15">
        <f>IF('Shipment Data'!A191="","",'Shipment Data'!A191)</f>
        <v/>
      </c>
      <c r="B191" s="15">
        <f>IF('Shipment Data'!A191="","",'Shipment Data'!C191)</f>
        <v/>
      </c>
      <c r="C191" s="15">
        <f>IF('Shipment Data'!A191="","",'Shipment Data'!D191)</f>
        <v/>
      </c>
      <c r="D191" s="15">
        <f>IF('Shipment Data'!A191="","",'Shipment Data'!J191)</f>
        <v/>
      </c>
      <c r="E191" s="16">
        <f>IF('Shipment Data'!A191="","",'Shipment Data'!F191)</f>
        <v/>
      </c>
      <c r="F191" s="17">
        <f>IF('Shipment Data'!A191="","",('Shipment Data'!G191*'Shipment Data'!H191*'Shipment Data'!I191)/5000)</f>
        <v/>
      </c>
      <c r="G191" s="17">
        <f>IF('Shipment Data'!A191="","",CEILING(MAX(E191,F191),0.5))</f>
        <v/>
      </c>
      <c r="H191" s="16">
        <f>IF('Shipment Data'!A191="","",'Shipment Data'!K191)</f>
        <v/>
      </c>
      <c r="I191" s="6">
        <f>IF('Shipment Data'!A191="","",IF(H191&gt;G191,"COURIER OVER-ROUNDED WEIGHT","OK"))</f>
        <v/>
      </c>
      <c r="J191" s="18">
        <f>IF('Shipment Data'!A191="","",INDEX('Rate Card'!$D$4:$D$8,MATCH(B191,'Rate Card'!$A$4:$A$8,0)))</f>
        <v/>
      </c>
      <c r="K191" s="18">
        <f>IF('Shipment Data'!A191="","",ROUND((G191-INDEX('Rate Card'!$C$4:$C$8,MATCH(B191,'Rate Card'!$A$4:$A$8,0)))/0.5,0)*INDEX('Rate Card'!$E$4:$E$8,MATCH(B191,'Rate Card'!$A$4:$A$8,0)))</f>
        <v/>
      </c>
      <c r="L191" s="18">
        <f>IF('Shipment Data'!A191="","",IF(C191="COD",MAX('Shipment Data'!E191*INDEX('Rate Card'!$F$4:$F$8,MATCH(B191,'Rate Card'!$A$4:$A$8,0)),INDEX('Rate Card'!$G$4:$G$8,MATCH(B191,'Rate Card'!$A$4:$A$8,0))),0))</f>
        <v/>
      </c>
      <c r="M191" s="18">
        <f>IF('Shipment Data'!A191="","",IF(D191="RTO",(J191+K191)*INDEX('Rate Card'!$H$4:$H$8,MATCH(B191,'Rate Card'!$A$4:$A$8,0)),0))</f>
        <v/>
      </c>
      <c r="N191" s="19">
        <f>IF('Shipment Data'!A191="","",J191+K191+L191+M191)</f>
        <v/>
      </c>
      <c r="O191" s="18">
        <f>IF('Shipment Data'!A191="","",'Shipment Data'!L191)</f>
        <v/>
      </c>
      <c r="P191" s="19">
        <f>IF('Shipment Data'!A191="","",O191-N191)</f>
        <v/>
      </c>
      <c r="Q191" s="6">
        <f>IF('Shipment Data'!A191="","",IF(P191&gt;1,"OVERCHARGED",IF(P191&lt;-1,"UNDERBILLED","MATCH")))</f>
        <v/>
      </c>
    </row>
    <row r="192">
      <c r="A192" s="15">
        <f>IF('Shipment Data'!A192="","",'Shipment Data'!A192)</f>
        <v/>
      </c>
      <c r="B192" s="15">
        <f>IF('Shipment Data'!A192="","",'Shipment Data'!C192)</f>
        <v/>
      </c>
      <c r="C192" s="15">
        <f>IF('Shipment Data'!A192="","",'Shipment Data'!D192)</f>
        <v/>
      </c>
      <c r="D192" s="15">
        <f>IF('Shipment Data'!A192="","",'Shipment Data'!J192)</f>
        <v/>
      </c>
      <c r="E192" s="16">
        <f>IF('Shipment Data'!A192="","",'Shipment Data'!F192)</f>
        <v/>
      </c>
      <c r="F192" s="17">
        <f>IF('Shipment Data'!A192="","",('Shipment Data'!G192*'Shipment Data'!H192*'Shipment Data'!I192)/5000)</f>
        <v/>
      </c>
      <c r="G192" s="17">
        <f>IF('Shipment Data'!A192="","",CEILING(MAX(E192,F192),0.5))</f>
        <v/>
      </c>
      <c r="H192" s="16">
        <f>IF('Shipment Data'!A192="","",'Shipment Data'!K192)</f>
        <v/>
      </c>
      <c r="I192" s="6">
        <f>IF('Shipment Data'!A192="","",IF(H192&gt;G192,"COURIER OVER-ROUNDED WEIGHT","OK"))</f>
        <v/>
      </c>
      <c r="J192" s="18">
        <f>IF('Shipment Data'!A192="","",INDEX('Rate Card'!$D$4:$D$8,MATCH(B192,'Rate Card'!$A$4:$A$8,0)))</f>
        <v/>
      </c>
      <c r="K192" s="18">
        <f>IF('Shipment Data'!A192="","",ROUND((G192-INDEX('Rate Card'!$C$4:$C$8,MATCH(B192,'Rate Card'!$A$4:$A$8,0)))/0.5,0)*INDEX('Rate Card'!$E$4:$E$8,MATCH(B192,'Rate Card'!$A$4:$A$8,0)))</f>
        <v/>
      </c>
      <c r="L192" s="18">
        <f>IF('Shipment Data'!A192="","",IF(C192="COD",MAX('Shipment Data'!E192*INDEX('Rate Card'!$F$4:$F$8,MATCH(B192,'Rate Card'!$A$4:$A$8,0)),INDEX('Rate Card'!$G$4:$G$8,MATCH(B192,'Rate Card'!$A$4:$A$8,0))),0))</f>
        <v/>
      </c>
      <c r="M192" s="18">
        <f>IF('Shipment Data'!A192="","",IF(D192="RTO",(J192+K192)*INDEX('Rate Card'!$H$4:$H$8,MATCH(B192,'Rate Card'!$A$4:$A$8,0)),0))</f>
        <v/>
      </c>
      <c r="N192" s="19">
        <f>IF('Shipment Data'!A192="","",J192+K192+L192+M192)</f>
        <v/>
      </c>
      <c r="O192" s="18">
        <f>IF('Shipment Data'!A192="","",'Shipment Data'!L192)</f>
        <v/>
      </c>
      <c r="P192" s="19">
        <f>IF('Shipment Data'!A192="","",O192-N192)</f>
        <v/>
      </c>
      <c r="Q192" s="6">
        <f>IF('Shipment Data'!A192="","",IF(P192&gt;1,"OVERCHARGED",IF(P192&lt;-1,"UNDERBILLED","MATCH")))</f>
        <v/>
      </c>
    </row>
    <row r="193">
      <c r="A193" s="15">
        <f>IF('Shipment Data'!A193="","",'Shipment Data'!A193)</f>
        <v/>
      </c>
      <c r="B193" s="15">
        <f>IF('Shipment Data'!A193="","",'Shipment Data'!C193)</f>
        <v/>
      </c>
      <c r="C193" s="15">
        <f>IF('Shipment Data'!A193="","",'Shipment Data'!D193)</f>
        <v/>
      </c>
      <c r="D193" s="15">
        <f>IF('Shipment Data'!A193="","",'Shipment Data'!J193)</f>
        <v/>
      </c>
      <c r="E193" s="16">
        <f>IF('Shipment Data'!A193="","",'Shipment Data'!F193)</f>
        <v/>
      </c>
      <c r="F193" s="17">
        <f>IF('Shipment Data'!A193="","",('Shipment Data'!G193*'Shipment Data'!H193*'Shipment Data'!I193)/5000)</f>
        <v/>
      </c>
      <c r="G193" s="17">
        <f>IF('Shipment Data'!A193="","",CEILING(MAX(E193,F193),0.5))</f>
        <v/>
      </c>
      <c r="H193" s="16">
        <f>IF('Shipment Data'!A193="","",'Shipment Data'!K193)</f>
        <v/>
      </c>
      <c r="I193" s="6">
        <f>IF('Shipment Data'!A193="","",IF(H193&gt;G193,"COURIER OVER-ROUNDED WEIGHT","OK"))</f>
        <v/>
      </c>
      <c r="J193" s="18">
        <f>IF('Shipment Data'!A193="","",INDEX('Rate Card'!$D$4:$D$8,MATCH(B193,'Rate Card'!$A$4:$A$8,0)))</f>
        <v/>
      </c>
      <c r="K193" s="18">
        <f>IF('Shipment Data'!A193="","",ROUND((G193-INDEX('Rate Card'!$C$4:$C$8,MATCH(B193,'Rate Card'!$A$4:$A$8,0)))/0.5,0)*INDEX('Rate Card'!$E$4:$E$8,MATCH(B193,'Rate Card'!$A$4:$A$8,0)))</f>
        <v/>
      </c>
      <c r="L193" s="18">
        <f>IF('Shipment Data'!A193="","",IF(C193="COD",MAX('Shipment Data'!E193*INDEX('Rate Card'!$F$4:$F$8,MATCH(B193,'Rate Card'!$A$4:$A$8,0)),INDEX('Rate Card'!$G$4:$G$8,MATCH(B193,'Rate Card'!$A$4:$A$8,0))),0))</f>
        <v/>
      </c>
      <c r="M193" s="18">
        <f>IF('Shipment Data'!A193="","",IF(D193="RTO",(J193+K193)*INDEX('Rate Card'!$H$4:$H$8,MATCH(B193,'Rate Card'!$A$4:$A$8,0)),0))</f>
        <v/>
      </c>
      <c r="N193" s="19">
        <f>IF('Shipment Data'!A193="","",J193+K193+L193+M193)</f>
        <v/>
      </c>
      <c r="O193" s="18">
        <f>IF('Shipment Data'!A193="","",'Shipment Data'!L193)</f>
        <v/>
      </c>
      <c r="P193" s="19">
        <f>IF('Shipment Data'!A193="","",O193-N193)</f>
        <v/>
      </c>
      <c r="Q193" s="6">
        <f>IF('Shipment Data'!A193="","",IF(P193&gt;1,"OVERCHARGED",IF(P193&lt;-1,"UNDERBILLED","MATCH")))</f>
        <v/>
      </c>
    </row>
    <row r="194">
      <c r="A194" s="15">
        <f>IF('Shipment Data'!A194="","",'Shipment Data'!A194)</f>
        <v/>
      </c>
      <c r="B194" s="15">
        <f>IF('Shipment Data'!A194="","",'Shipment Data'!C194)</f>
        <v/>
      </c>
      <c r="C194" s="15">
        <f>IF('Shipment Data'!A194="","",'Shipment Data'!D194)</f>
        <v/>
      </c>
      <c r="D194" s="15">
        <f>IF('Shipment Data'!A194="","",'Shipment Data'!J194)</f>
        <v/>
      </c>
      <c r="E194" s="16">
        <f>IF('Shipment Data'!A194="","",'Shipment Data'!F194)</f>
        <v/>
      </c>
      <c r="F194" s="17">
        <f>IF('Shipment Data'!A194="","",('Shipment Data'!G194*'Shipment Data'!H194*'Shipment Data'!I194)/5000)</f>
        <v/>
      </c>
      <c r="G194" s="17">
        <f>IF('Shipment Data'!A194="","",CEILING(MAX(E194,F194),0.5))</f>
        <v/>
      </c>
      <c r="H194" s="16">
        <f>IF('Shipment Data'!A194="","",'Shipment Data'!K194)</f>
        <v/>
      </c>
      <c r="I194" s="6">
        <f>IF('Shipment Data'!A194="","",IF(H194&gt;G194,"COURIER OVER-ROUNDED WEIGHT","OK"))</f>
        <v/>
      </c>
      <c r="J194" s="18">
        <f>IF('Shipment Data'!A194="","",INDEX('Rate Card'!$D$4:$D$8,MATCH(B194,'Rate Card'!$A$4:$A$8,0)))</f>
        <v/>
      </c>
      <c r="K194" s="18">
        <f>IF('Shipment Data'!A194="","",ROUND((G194-INDEX('Rate Card'!$C$4:$C$8,MATCH(B194,'Rate Card'!$A$4:$A$8,0)))/0.5,0)*INDEX('Rate Card'!$E$4:$E$8,MATCH(B194,'Rate Card'!$A$4:$A$8,0)))</f>
        <v/>
      </c>
      <c r="L194" s="18">
        <f>IF('Shipment Data'!A194="","",IF(C194="COD",MAX('Shipment Data'!E194*INDEX('Rate Card'!$F$4:$F$8,MATCH(B194,'Rate Card'!$A$4:$A$8,0)),INDEX('Rate Card'!$G$4:$G$8,MATCH(B194,'Rate Card'!$A$4:$A$8,0))),0))</f>
        <v/>
      </c>
      <c r="M194" s="18">
        <f>IF('Shipment Data'!A194="","",IF(D194="RTO",(J194+K194)*INDEX('Rate Card'!$H$4:$H$8,MATCH(B194,'Rate Card'!$A$4:$A$8,0)),0))</f>
        <v/>
      </c>
      <c r="N194" s="19">
        <f>IF('Shipment Data'!A194="","",J194+K194+L194+M194)</f>
        <v/>
      </c>
      <c r="O194" s="18">
        <f>IF('Shipment Data'!A194="","",'Shipment Data'!L194)</f>
        <v/>
      </c>
      <c r="P194" s="19">
        <f>IF('Shipment Data'!A194="","",O194-N194)</f>
        <v/>
      </c>
      <c r="Q194" s="6">
        <f>IF('Shipment Data'!A194="","",IF(P194&gt;1,"OVERCHARGED",IF(P194&lt;-1,"UNDERBILLED","MATCH")))</f>
        <v/>
      </c>
    </row>
    <row r="195">
      <c r="A195" s="15">
        <f>IF('Shipment Data'!A195="","",'Shipment Data'!A195)</f>
        <v/>
      </c>
      <c r="B195" s="15">
        <f>IF('Shipment Data'!A195="","",'Shipment Data'!C195)</f>
        <v/>
      </c>
      <c r="C195" s="15">
        <f>IF('Shipment Data'!A195="","",'Shipment Data'!D195)</f>
        <v/>
      </c>
      <c r="D195" s="15">
        <f>IF('Shipment Data'!A195="","",'Shipment Data'!J195)</f>
        <v/>
      </c>
      <c r="E195" s="16">
        <f>IF('Shipment Data'!A195="","",'Shipment Data'!F195)</f>
        <v/>
      </c>
      <c r="F195" s="17">
        <f>IF('Shipment Data'!A195="","",('Shipment Data'!G195*'Shipment Data'!H195*'Shipment Data'!I195)/5000)</f>
        <v/>
      </c>
      <c r="G195" s="17">
        <f>IF('Shipment Data'!A195="","",CEILING(MAX(E195,F195),0.5))</f>
        <v/>
      </c>
      <c r="H195" s="16">
        <f>IF('Shipment Data'!A195="","",'Shipment Data'!K195)</f>
        <v/>
      </c>
      <c r="I195" s="6">
        <f>IF('Shipment Data'!A195="","",IF(H195&gt;G195,"COURIER OVER-ROUNDED WEIGHT","OK"))</f>
        <v/>
      </c>
      <c r="J195" s="18">
        <f>IF('Shipment Data'!A195="","",INDEX('Rate Card'!$D$4:$D$8,MATCH(B195,'Rate Card'!$A$4:$A$8,0)))</f>
        <v/>
      </c>
      <c r="K195" s="18">
        <f>IF('Shipment Data'!A195="","",ROUND((G195-INDEX('Rate Card'!$C$4:$C$8,MATCH(B195,'Rate Card'!$A$4:$A$8,0)))/0.5,0)*INDEX('Rate Card'!$E$4:$E$8,MATCH(B195,'Rate Card'!$A$4:$A$8,0)))</f>
        <v/>
      </c>
      <c r="L195" s="18">
        <f>IF('Shipment Data'!A195="","",IF(C195="COD",MAX('Shipment Data'!E195*INDEX('Rate Card'!$F$4:$F$8,MATCH(B195,'Rate Card'!$A$4:$A$8,0)),INDEX('Rate Card'!$G$4:$G$8,MATCH(B195,'Rate Card'!$A$4:$A$8,0))),0))</f>
        <v/>
      </c>
      <c r="M195" s="18">
        <f>IF('Shipment Data'!A195="","",IF(D195="RTO",(J195+K195)*INDEX('Rate Card'!$H$4:$H$8,MATCH(B195,'Rate Card'!$A$4:$A$8,0)),0))</f>
        <v/>
      </c>
      <c r="N195" s="19">
        <f>IF('Shipment Data'!A195="","",J195+K195+L195+M195)</f>
        <v/>
      </c>
      <c r="O195" s="18">
        <f>IF('Shipment Data'!A195="","",'Shipment Data'!L195)</f>
        <v/>
      </c>
      <c r="P195" s="19">
        <f>IF('Shipment Data'!A195="","",O195-N195)</f>
        <v/>
      </c>
      <c r="Q195" s="6">
        <f>IF('Shipment Data'!A195="","",IF(P195&gt;1,"OVERCHARGED",IF(P195&lt;-1,"UNDERBILLED","MATCH")))</f>
        <v/>
      </c>
    </row>
    <row r="196">
      <c r="A196" s="15">
        <f>IF('Shipment Data'!A196="","",'Shipment Data'!A196)</f>
        <v/>
      </c>
      <c r="B196" s="15">
        <f>IF('Shipment Data'!A196="","",'Shipment Data'!C196)</f>
        <v/>
      </c>
      <c r="C196" s="15">
        <f>IF('Shipment Data'!A196="","",'Shipment Data'!D196)</f>
        <v/>
      </c>
      <c r="D196" s="15">
        <f>IF('Shipment Data'!A196="","",'Shipment Data'!J196)</f>
        <v/>
      </c>
      <c r="E196" s="16">
        <f>IF('Shipment Data'!A196="","",'Shipment Data'!F196)</f>
        <v/>
      </c>
      <c r="F196" s="17">
        <f>IF('Shipment Data'!A196="","",('Shipment Data'!G196*'Shipment Data'!H196*'Shipment Data'!I196)/5000)</f>
        <v/>
      </c>
      <c r="G196" s="17">
        <f>IF('Shipment Data'!A196="","",CEILING(MAX(E196,F196),0.5))</f>
        <v/>
      </c>
      <c r="H196" s="16">
        <f>IF('Shipment Data'!A196="","",'Shipment Data'!K196)</f>
        <v/>
      </c>
      <c r="I196" s="6">
        <f>IF('Shipment Data'!A196="","",IF(H196&gt;G196,"COURIER OVER-ROUNDED WEIGHT","OK"))</f>
        <v/>
      </c>
      <c r="J196" s="18">
        <f>IF('Shipment Data'!A196="","",INDEX('Rate Card'!$D$4:$D$8,MATCH(B196,'Rate Card'!$A$4:$A$8,0)))</f>
        <v/>
      </c>
      <c r="K196" s="18">
        <f>IF('Shipment Data'!A196="","",ROUND((G196-INDEX('Rate Card'!$C$4:$C$8,MATCH(B196,'Rate Card'!$A$4:$A$8,0)))/0.5,0)*INDEX('Rate Card'!$E$4:$E$8,MATCH(B196,'Rate Card'!$A$4:$A$8,0)))</f>
        <v/>
      </c>
      <c r="L196" s="18">
        <f>IF('Shipment Data'!A196="","",IF(C196="COD",MAX('Shipment Data'!E196*INDEX('Rate Card'!$F$4:$F$8,MATCH(B196,'Rate Card'!$A$4:$A$8,0)),INDEX('Rate Card'!$G$4:$G$8,MATCH(B196,'Rate Card'!$A$4:$A$8,0))),0))</f>
        <v/>
      </c>
      <c r="M196" s="18">
        <f>IF('Shipment Data'!A196="","",IF(D196="RTO",(J196+K196)*INDEX('Rate Card'!$H$4:$H$8,MATCH(B196,'Rate Card'!$A$4:$A$8,0)),0))</f>
        <v/>
      </c>
      <c r="N196" s="19">
        <f>IF('Shipment Data'!A196="","",J196+K196+L196+M196)</f>
        <v/>
      </c>
      <c r="O196" s="18">
        <f>IF('Shipment Data'!A196="","",'Shipment Data'!L196)</f>
        <v/>
      </c>
      <c r="P196" s="19">
        <f>IF('Shipment Data'!A196="","",O196-N196)</f>
        <v/>
      </c>
      <c r="Q196" s="6">
        <f>IF('Shipment Data'!A196="","",IF(P196&gt;1,"OVERCHARGED",IF(P196&lt;-1,"UNDERBILLED","MATCH")))</f>
        <v/>
      </c>
    </row>
    <row r="197">
      <c r="A197" s="15">
        <f>IF('Shipment Data'!A197="","",'Shipment Data'!A197)</f>
        <v/>
      </c>
      <c r="B197" s="15">
        <f>IF('Shipment Data'!A197="","",'Shipment Data'!C197)</f>
        <v/>
      </c>
      <c r="C197" s="15">
        <f>IF('Shipment Data'!A197="","",'Shipment Data'!D197)</f>
        <v/>
      </c>
      <c r="D197" s="15">
        <f>IF('Shipment Data'!A197="","",'Shipment Data'!J197)</f>
        <v/>
      </c>
      <c r="E197" s="16">
        <f>IF('Shipment Data'!A197="","",'Shipment Data'!F197)</f>
        <v/>
      </c>
      <c r="F197" s="17">
        <f>IF('Shipment Data'!A197="","",('Shipment Data'!G197*'Shipment Data'!H197*'Shipment Data'!I197)/5000)</f>
        <v/>
      </c>
      <c r="G197" s="17">
        <f>IF('Shipment Data'!A197="","",CEILING(MAX(E197,F197),0.5))</f>
        <v/>
      </c>
      <c r="H197" s="16">
        <f>IF('Shipment Data'!A197="","",'Shipment Data'!K197)</f>
        <v/>
      </c>
      <c r="I197" s="6">
        <f>IF('Shipment Data'!A197="","",IF(H197&gt;G197,"COURIER OVER-ROUNDED WEIGHT","OK"))</f>
        <v/>
      </c>
      <c r="J197" s="18">
        <f>IF('Shipment Data'!A197="","",INDEX('Rate Card'!$D$4:$D$8,MATCH(B197,'Rate Card'!$A$4:$A$8,0)))</f>
        <v/>
      </c>
      <c r="K197" s="18">
        <f>IF('Shipment Data'!A197="","",ROUND((G197-INDEX('Rate Card'!$C$4:$C$8,MATCH(B197,'Rate Card'!$A$4:$A$8,0)))/0.5,0)*INDEX('Rate Card'!$E$4:$E$8,MATCH(B197,'Rate Card'!$A$4:$A$8,0)))</f>
        <v/>
      </c>
      <c r="L197" s="18">
        <f>IF('Shipment Data'!A197="","",IF(C197="COD",MAX('Shipment Data'!E197*INDEX('Rate Card'!$F$4:$F$8,MATCH(B197,'Rate Card'!$A$4:$A$8,0)),INDEX('Rate Card'!$G$4:$G$8,MATCH(B197,'Rate Card'!$A$4:$A$8,0))),0))</f>
        <v/>
      </c>
      <c r="M197" s="18">
        <f>IF('Shipment Data'!A197="","",IF(D197="RTO",(J197+K197)*INDEX('Rate Card'!$H$4:$H$8,MATCH(B197,'Rate Card'!$A$4:$A$8,0)),0))</f>
        <v/>
      </c>
      <c r="N197" s="19">
        <f>IF('Shipment Data'!A197="","",J197+K197+L197+M197)</f>
        <v/>
      </c>
      <c r="O197" s="18">
        <f>IF('Shipment Data'!A197="","",'Shipment Data'!L197)</f>
        <v/>
      </c>
      <c r="P197" s="19">
        <f>IF('Shipment Data'!A197="","",O197-N197)</f>
        <v/>
      </c>
      <c r="Q197" s="6">
        <f>IF('Shipment Data'!A197="","",IF(P197&gt;1,"OVERCHARGED",IF(P197&lt;-1,"UNDERBILLED","MATCH")))</f>
        <v/>
      </c>
    </row>
    <row r="198">
      <c r="A198" s="15">
        <f>IF('Shipment Data'!A198="","",'Shipment Data'!A198)</f>
        <v/>
      </c>
      <c r="B198" s="15">
        <f>IF('Shipment Data'!A198="","",'Shipment Data'!C198)</f>
        <v/>
      </c>
      <c r="C198" s="15">
        <f>IF('Shipment Data'!A198="","",'Shipment Data'!D198)</f>
        <v/>
      </c>
      <c r="D198" s="15">
        <f>IF('Shipment Data'!A198="","",'Shipment Data'!J198)</f>
        <v/>
      </c>
      <c r="E198" s="16">
        <f>IF('Shipment Data'!A198="","",'Shipment Data'!F198)</f>
        <v/>
      </c>
      <c r="F198" s="17">
        <f>IF('Shipment Data'!A198="","",('Shipment Data'!G198*'Shipment Data'!H198*'Shipment Data'!I198)/5000)</f>
        <v/>
      </c>
      <c r="G198" s="17">
        <f>IF('Shipment Data'!A198="","",CEILING(MAX(E198,F198),0.5))</f>
        <v/>
      </c>
      <c r="H198" s="16">
        <f>IF('Shipment Data'!A198="","",'Shipment Data'!K198)</f>
        <v/>
      </c>
      <c r="I198" s="6">
        <f>IF('Shipment Data'!A198="","",IF(H198&gt;G198,"COURIER OVER-ROUNDED WEIGHT","OK"))</f>
        <v/>
      </c>
      <c r="J198" s="18">
        <f>IF('Shipment Data'!A198="","",INDEX('Rate Card'!$D$4:$D$8,MATCH(B198,'Rate Card'!$A$4:$A$8,0)))</f>
        <v/>
      </c>
      <c r="K198" s="18">
        <f>IF('Shipment Data'!A198="","",ROUND((G198-INDEX('Rate Card'!$C$4:$C$8,MATCH(B198,'Rate Card'!$A$4:$A$8,0)))/0.5,0)*INDEX('Rate Card'!$E$4:$E$8,MATCH(B198,'Rate Card'!$A$4:$A$8,0)))</f>
        <v/>
      </c>
      <c r="L198" s="18">
        <f>IF('Shipment Data'!A198="","",IF(C198="COD",MAX('Shipment Data'!E198*INDEX('Rate Card'!$F$4:$F$8,MATCH(B198,'Rate Card'!$A$4:$A$8,0)),INDEX('Rate Card'!$G$4:$G$8,MATCH(B198,'Rate Card'!$A$4:$A$8,0))),0))</f>
        <v/>
      </c>
      <c r="M198" s="18">
        <f>IF('Shipment Data'!A198="","",IF(D198="RTO",(J198+K198)*INDEX('Rate Card'!$H$4:$H$8,MATCH(B198,'Rate Card'!$A$4:$A$8,0)),0))</f>
        <v/>
      </c>
      <c r="N198" s="19">
        <f>IF('Shipment Data'!A198="","",J198+K198+L198+M198)</f>
        <v/>
      </c>
      <c r="O198" s="18">
        <f>IF('Shipment Data'!A198="","",'Shipment Data'!L198)</f>
        <v/>
      </c>
      <c r="P198" s="19">
        <f>IF('Shipment Data'!A198="","",O198-N198)</f>
        <v/>
      </c>
      <c r="Q198" s="6">
        <f>IF('Shipment Data'!A198="","",IF(P198&gt;1,"OVERCHARGED",IF(P198&lt;-1,"UNDERBILLED","MATCH")))</f>
        <v/>
      </c>
    </row>
    <row r="199">
      <c r="A199" s="15">
        <f>IF('Shipment Data'!A199="","",'Shipment Data'!A199)</f>
        <v/>
      </c>
      <c r="B199" s="15">
        <f>IF('Shipment Data'!A199="","",'Shipment Data'!C199)</f>
        <v/>
      </c>
      <c r="C199" s="15">
        <f>IF('Shipment Data'!A199="","",'Shipment Data'!D199)</f>
        <v/>
      </c>
      <c r="D199" s="15">
        <f>IF('Shipment Data'!A199="","",'Shipment Data'!J199)</f>
        <v/>
      </c>
      <c r="E199" s="16">
        <f>IF('Shipment Data'!A199="","",'Shipment Data'!F199)</f>
        <v/>
      </c>
      <c r="F199" s="17">
        <f>IF('Shipment Data'!A199="","",('Shipment Data'!G199*'Shipment Data'!H199*'Shipment Data'!I199)/5000)</f>
        <v/>
      </c>
      <c r="G199" s="17">
        <f>IF('Shipment Data'!A199="","",CEILING(MAX(E199,F199),0.5))</f>
        <v/>
      </c>
      <c r="H199" s="16">
        <f>IF('Shipment Data'!A199="","",'Shipment Data'!K199)</f>
        <v/>
      </c>
      <c r="I199" s="6">
        <f>IF('Shipment Data'!A199="","",IF(H199&gt;G199,"COURIER OVER-ROUNDED WEIGHT","OK"))</f>
        <v/>
      </c>
      <c r="J199" s="18">
        <f>IF('Shipment Data'!A199="","",INDEX('Rate Card'!$D$4:$D$8,MATCH(B199,'Rate Card'!$A$4:$A$8,0)))</f>
        <v/>
      </c>
      <c r="K199" s="18">
        <f>IF('Shipment Data'!A199="","",ROUND((G199-INDEX('Rate Card'!$C$4:$C$8,MATCH(B199,'Rate Card'!$A$4:$A$8,0)))/0.5,0)*INDEX('Rate Card'!$E$4:$E$8,MATCH(B199,'Rate Card'!$A$4:$A$8,0)))</f>
        <v/>
      </c>
      <c r="L199" s="18">
        <f>IF('Shipment Data'!A199="","",IF(C199="COD",MAX('Shipment Data'!E199*INDEX('Rate Card'!$F$4:$F$8,MATCH(B199,'Rate Card'!$A$4:$A$8,0)),INDEX('Rate Card'!$G$4:$G$8,MATCH(B199,'Rate Card'!$A$4:$A$8,0))),0))</f>
        <v/>
      </c>
      <c r="M199" s="18">
        <f>IF('Shipment Data'!A199="","",IF(D199="RTO",(J199+K199)*INDEX('Rate Card'!$H$4:$H$8,MATCH(B199,'Rate Card'!$A$4:$A$8,0)),0))</f>
        <v/>
      </c>
      <c r="N199" s="19">
        <f>IF('Shipment Data'!A199="","",J199+K199+L199+M199)</f>
        <v/>
      </c>
      <c r="O199" s="18">
        <f>IF('Shipment Data'!A199="","",'Shipment Data'!L199)</f>
        <v/>
      </c>
      <c r="P199" s="19">
        <f>IF('Shipment Data'!A199="","",O199-N199)</f>
        <v/>
      </c>
      <c r="Q199" s="6">
        <f>IF('Shipment Data'!A199="","",IF(P199&gt;1,"OVERCHARGED",IF(P199&lt;-1,"UNDERBILLED","MATCH")))</f>
        <v/>
      </c>
    </row>
    <row r="200">
      <c r="A200" s="15">
        <f>IF('Shipment Data'!A200="","",'Shipment Data'!A200)</f>
        <v/>
      </c>
      <c r="B200" s="15">
        <f>IF('Shipment Data'!A200="","",'Shipment Data'!C200)</f>
        <v/>
      </c>
      <c r="C200" s="15">
        <f>IF('Shipment Data'!A200="","",'Shipment Data'!D200)</f>
        <v/>
      </c>
      <c r="D200" s="15">
        <f>IF('Shipment Data'!A200="","",'Shipment Data'!J200)</f>
        <v/>
      </c>
      <c r="E200" s="16">
        <f>IF('Shipment Data'!A200="","",'Shipment Data'!F200)</f>
        <v/>
      </c>
      <c r="F200" s="17">
        <f>IF('Shipment Data'!A200="","",('Shipment Data'!G200*'Shipment Data'!H200*'Shipment Data'!I200)/5000)</f>
        <v/>
      </c>
      <c r="G200" s="17">
        <f>IF('Shipment Data'!A200="","",CEILING(MAX(E200,F200),0.5))</f>
        <v/>
      </c>
      <c r="H200" s="16">
        <f>IF('Shipment Data'!A200="","",'Shipment Data'!K200)</f>
        <v/>
      </c>
      <c r="I200" s="6">
        <f>IF('Shipment Data'!A200="","",IF(H200&gt;G200,"COURIER OVER-ROUNDED WEIGHT","OK"))</f>
        <v/>
      </c>
      <c r="J200" s="18">
        <f>IF('Shipment Data'!A200="","",INDEX('Rate Card'!$D$4:$D$8,MATCH(B200,'Rate Card'!$A$4:$A$8,0)))</f>
        <v/>
      </c>
      <c r="K200" s="18">
        <f>IF('Shipment Data'!A200="","",ROUND((G200-INDEX('Rate Card'!$C$4:$C$8,MATCH(B200,'Rate Card'!$A$4:$A$8,0)))/0.5,0)*INDEX('Rate Card'!$E$4:$E$8,MATCH(B200,'Rate Card'!$A$4:$A$8,0)))</f>
        <v/>
      </c>
      <c r="L200" s="18">
        <f>IF('Shipment Data'!A200="","",IF(C200="COD",MAX('Shipment Data'!E200*INDEX('Rate Card'!$F$4:$F$8,MATCH(B200,'Rate Card'!$A$4:$A$8,0)),INDEX('Rate Card'!$G$4:$G$8,MATCH(B200,'Rate Card'!$A$4:$A$8,0))),0))</f>
        <v/>
      </c>
      <c r="M200" s="18">
        <f>IF('Shipment Data'!A200="","",IF(D200="RTO",(J200+K200)*INDEX('Rate Card'!$H$4:$H$8,MATCH(B200,'Rate Card'!$A$4:$A$8,0)),0))</f>
        <v/>
      </c>
      <c r="N200" s="19">
        <f>IF('Shipment Data'!A200="","",J200+K200+L200+M200)</f>
        <v/>
      </c>
      <c r="O200" s="18">
        <f>IF('Shipment Data'!A200="","",'Shipment Data'!L200)</f>
        <v/>
      </c>
      <c r="P200" s="19">
        <f>IF('Shipment Data'!A200="","",O200-N200)</f>
        <v/>
      </c>
      <c r="Q200" s="6">
        <f>IF('Shipment Data'!A200="","",IF(P200&gt;1,"OVERCHARGED",IF(P200&lt;-1,"UNDERBILLED","MATCH")))</f>
        <v/>
      </c>
    </row>
    <row r="201">
      <c r="A201" s="15">
        <f>IF('Shipment Data'!A201="","",'Shipment Data'!A201)</f>
        <v/>
      </c>
      <c r="B201" s="15">
        <f>IF('Shipment Data'!A201="","",'Shipment Data'!C201)</f>
        <v/>
      </c>
      <c r="C201" s="15">
        <f>IF('Shipment Data'!A201="","",'Shipment Data'!D201)</f>
        <v/>
      </c>
      <c r="D201" s="15">
        <f>IF('Shipment Data'!A201="","",'Shipment Data'!J201)</f>
        <v/>
      </c>
      <c r="E201" s="16">
        <f>IF('Shipment Data'!A201="","",'Shipment Data'!F201)</f>
        <v/>
      </c>
      <c r="F201" s="17">
        <f>IF('Shipment Data'!A201="","",('Shipment Data'!G201*'Shipment Data'!H201*'Shipment Data'!I201)/5000)</f>
        <v/>
      </c>
      <c r="G201" s="17">
        <f>IF('Shipment Data'!A201="","",CEILING(MAX(E201,F201),0.5))</f>
        <v/>
      </c>
      <c r="H201" s="16">
        <f>IF('Shipment Data'!A201="","",'Shipment Data'!K201)</f>
        <v/>
      </c>
      <c r="I201" s="6">
        <f>IF('Shipment Data'!A201="","",IF(H201&gt;G201,"COURIER OVER-ROUNDED WEIGHT","OK"))</f>
        <v/>
      </c>
      <c r="J201" s="18">
        <f>IF('Shipment Data'!A201="","",INDEX('Rate Card'!$D$4:$D$8,MATCH(B201,'Rate Card'!$A$4:$A$8,0)))</f>
        <v/>
      </c>
      <c r="K201" s="18">
        <f>IF('Shipment Data'!A201="","",ROUND((G201-INDEX('Rate Card'!$C$4:$C$8,MATCH(B201,'Rate Card'!$A$4:$A$8,0)))/0.5,0)*INDEX('Rate Card'!$E$4:$E$8,MATCH(B201,'Rate Card'!$A$4:$A$8,0)))</f>
        <v/>
      </c>
      <c r="L201" s="18">
        <f>IF('Shipment Data'!A201="","",IF(C201="COD",MAX('Shipment Data'!E201*INDEX('Rate Card'!$F$4:$F$8,MATCH(B201,'Rate Card'!$A$4:$A$8,0)),INDEX('Rate Card'!$G$4:$G$8,MATCH(B201,'Rate Card'!$A$4:$A$8,0))),0))</f>
        <v/>
      </c>
      <c r="M201" s="18">
        <f>IF('Shipment Data'!A201="","",IF(D201="RTO",(J201+K201)*INDEX('Rate Card'!$H$4:$H$8,MATCH(B201,'Rate Card'!$A$4:$A$8,0)),0))</f>
        <v/>
      </c>
      <c r="N201" s="19">
        <f>IF('Shipment Data'!A201="","",J201+K201+L201+M201)</f>
        <v/>
      </c>
      <c r="O201" s="18">
        <f>IF('Shipment Data'!A201="","",'Shipment Data'!L201)</f>
        <v/>
      </c>
      <c r="P201" s="19">
        <f>IF('Shipment Data'!A201="","",O201-N201)</f>
        <v/>
      </c>
      <c r="Q201" s="6">
        <f>IF('Shipment Data'!A201="","",IF(P201&gt;1,"OVERCHARGED",IF(P201&lt;-1,"UNDERBILLED","MATCH")))</f>
        <v/>
      </c>
    </row>
  </sheetData>
  <conditionalFormatting sqref="Q2:Q201">
    <cfRule type="cellIs" priority="1" operator="equal" dxfId="0">
      <formula>"OVERCHARGED"</formula>
    </cfRule>
    <cfRule type="cellIs" priority="2" operator="equal" dxfId="1">
      <formula>"UNDERBILLED"</formula>
    </cfRule>
    <cfRule type="cellIs" priority="3" operator="equal" dxfId="2">
      <formula>"MATCH"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2" customWidth="1" min="3" max="3"/>
    <col width="20" customWidth="1" min="4" max="4"/>
    <col width="14" customWidth="1" min="5" max="5"/>
    <col width="14" customWidth="1" min="6" max="6"/>
  </cols>
  <sheetData>
    <row r="2">
      <c r="B2" s="1" t="inlineStr">
        <is>
          <t>Billing Audit Summary</t>
        </is>
      </c>
    </row>
    <row r="4">
      <c r="B4" s="2" t="inlineStr">
        <is>
          <t>Total Shipments Audited</t>
        </is>
      </c>
      <c r="D4" s="20">
        <f>SUMPRODUCT(--(Audit!A2:A201&lt;&gt;""))</f>
        <v/>
      </c>
    </row>
    <row r="5">
      <c r="B5" s="2" t="inlineStr">
        <is>
          <t>Total Billed by Courier (Rs)</t>
        </is>
      </c>
      <c r="D5" s="21">
        <f>SUM(Audit!O2:O201)</f>
        <v/>
      </c>
    </row>
    <row r="6">
      <c r="B6" s="2" t="inlineStr">
        <is>
          <t>Total Expected Charge (Rs)</t>
        </is>
      </c>
      <c r="D6" s="21">
        <f>SUM(Audit!N2:N201)</f>
        <v/>
      </c>
    </row>
    <row r="7">
      <c r="B7" s="2" t="inlineStr">
        <is>
          <t>Net Variance (Rs)</t>
        </is>
      </c>
      <c r="D7" s="21">
        <f>SUM(Audit!P2:P201)</f>
        <v/>
      </c>
    </row>
    <row r="8">
      <c r="B8" s="2" t="inlineStr">
        <is>
          <t>Shipments Overcharged</t>
        </is>
      </c>
      <c r="D8" s="20">
        <f>COUNTIF(Audit!Q2:Q201,"OVERCHARGED")</f>
        <v/>
      </c>
    </row>
    <row r="9">
      <c r="B9" s="2" t="inlineStr">
        <is>
          <t>Total Overcharge - Refund Claimable (Rs)</t>
        </is>
      </c>
      <c r="D9" s="21">
        <f>SUMIF(Audit!Q2:Q201,"OVERCHARGED",Audit!P2:P201)</f>
        <v/>
      </c>
    </row>
    <row r="10">
      <c r="B10" s="2" t="inlineStr">
        <is>
          <t>Shipments Underbilled (courier's loss, FYI)</t>
        </is>
      </c>
      <c r="D10" s="20">
        <f>COUNTIF(Audit!Q2:Q201,"UNDERBILLED")</f>
        <v/>
      </c>
    </row>
    <row r="12">
      <c r="B12" s="2" t="inlineStr">
        <is>
          <t>Zone-wise Breakdown</t>
        </is>
      </c>
    </row>
    <row r="14">
      <c r="B14" s="5" t="inlineStr">
        <is>
          <t>Zone</t>
        </is>
      </c>
      <c r="C14" s="5" t="inlineStr">
        <is>
          <t>Shipments</t>
        </is>
      </c>
      <c r="D14" s="5" t="inlineStr">
        <is>
          <t>Total Billed (Rs)</t>
        </is>
      </c>
      <c r="E14" s="5" t="inlineStr">
        <is>
          <t>Total Expected (Rs)</t>
        </is>
      </c>
      <c r="F14" s="5" t="inlineStr">
        <is>
          <t>Overcharge Amount (Rs)</t>
        </is>
      </c>
    </row>
    <row r="15">
      <c r="B15" s="6" t="inlineStr">
        <is>
          <t>A</t>
        </is>
      </c>
      <c r="C15" s="6">
        <f>COUNTIF(Audit!$B$2:$B$201,B15)</f>
        <v/>
      </c>
      <c r="D15" s="19">
        <f>SUMIF(Audit!$B$2:$B$201,B15,Audit!$O$2:$O$201)</f>
        <v/>
      </c>
      <c r="E15" s="19">
        <f>SUMIF(Audit!$B$2:$B$201,B15,Audit!$N$2:$N$201)</f>
        <v/>
      </c>
      <c r="F15" s="19">
        <f>SUMIFS(Audit!$P$2:$P$201,Audit!$B$2:$B$201,B15,Audit!$Q$2:$Q$201,"OVERCHARGED")</f>
        <v/>
      </c>
    </row>
    <row r="16">
      <c r="B16" s="6" t="inlineStr">
        <is>
          <t>B</t>
        </is>
      </c>
      <c r="C16" s="6">
        <f>COUNTIF(Audit!$B$2:$B$201,B16)</f>
        <v/>
      </c>
      <c r="D16" s="19">
        <f>SUMIF(Audit!$B$2:$B$201,B16,Audit!$O$2:$O$201)</f>
        <v/>
      </c>
      <c r="E16" s="19">
        <f>SUMIF(Audit!$B$2:$B$201,B16,Audit!$N$2:$N$201)</f>
        <v/>
      </c>
      <c r="F16" s="19">
        <f>SUMIFS(Audit!$P$2:$P$201,Audit!$B$2:$B$201,B16,Audit!$Q$2:$Q$201,"OVERCHARGED")</f>
        <v/>
      </c>
    </row>
    <row r="17">
      <c r="B17" s="6" t="inlineStr">
        <is>
          <t>C</t>
        </is>
      </c>
      <c r="C17" s="6">
        <f>COUNTIF(Audit!$B$2:$B$201,B17)</f>
        <v/>
      </c>
      <c r="D17" s="19">
        <f>SUMIF(Audit!$B$2:$B$201,B17,Audit!$O$2:$O$201)</f>
        <v/>
      </c>
      <c r="E17" s="19">
        <f>SUMIF(Audit!$B$2:$B$201,B17,Audit!$N$2:$N$201)</f>
        <v/>
      </c>
      <c r="F17" s="19">
        <f>SUMIFS(Audit!$P$2:$P$201,Audit!$B$2:$B$201,B17,Audit!$Q$2:$Q$201,"OVERCHARGED")</f>
        <v/>
      </c>
    </row>
    <row r="18">
      <c r="B18" s="6" t="inlineStr">
        <is>
          <t>D</t>
        </is>
      </c>
      <c r="C18" s="6">
        <f>COUNTIF(Audit!$B$2:$B$201,B18)</f>
        <v/>
      </c>
      <c r="D18" s="19">
        <f>SUMIF(Audit!$B$2:$B$201,B18,Audit!$O$2:$O$201)</f>
        <v/>
      </c>
      <c r="E18" s="19">
        <f>SUMIF(Audit!$B$2:$B$201,B18,Audit!$N$2:$N$201)</f>
        <v/>
      </c>
      <c r="F18" s="19">
        <f>SUMIFS(Audit!$P$2:$P$201,Audit!$B$2:$B$201,B18,Audit!$Q$2:$Q$201,"OVERCHARGED")</f>
        <v/>
      </c>
    </row>
    <row r="19">
      <c r="B19" s="6" t="inlineStr">
        <is>
          <t>E</t>
        </is>
      </c>
      <c r="C19" s="6">
        <f>COUNTIF(Audit!$B$2:$B$201,B19)</f>
        <v/>
      </c>
      <c r="D19" s="19">
        <f>SUMIF(Audit!$B$2:$B$201,B19,Audit!$O$2:$O$201)</f>
        <v/>
      </c>
      <c r="E19" s="19">
        <f>SUMIF(Audit!$B$2:$B$201,B19,Audit!$N$2:$N$201)</f>
        <v/>
      </c>
      <c r="F19" s="19">
        <f>SUMIFS(Audit!$P$2:$P$201,Audit!$B$2:$B$201,B19,Audit!$Q$2:$Q$201,"OVERCHARGED")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2026-07-06T12:33:05Z</dcterms:created>
  <dcterms:modified xmlns:dcterms="http://purl.org/dc/terms/" xmlns:xsi="http://www.w3.org/2001/XMLSchema-instance" xsi:type="dcterms:W3CDTF">2026-07-06T12:33:05Z</dcterms:modified>
</cp:coreProperties>
</file>