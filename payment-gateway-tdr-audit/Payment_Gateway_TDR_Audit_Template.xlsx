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DR Rate Card" sheetId="2" state="visible" r:id="rId2"/>
    <sheet xmlns:r="http://schemas.openxmlformats.org/officeDocument/2006/relationships" name="Settlement Data" sheetId="3" state="visible" r:id="rId3"/>
    <sheet xmlns:r="http://schemas.openxmlformats.org/officeDocument/2006/relationships" name="Audit" sheetId="4" state="visible" r:id="rId4"/>
    <sheet xmlns:r="http://schemas.openxmlformats.org/officeDocument/2006/relationships" name="Summary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s #,##0.00"/>
  </numFmts>
  <fonts count="10">
    <font>
      <name val="Calibri"/>
      <family val="2"/>
      <color theme="1"/>
      <sz val="11"/>
      <scheme val="minor"/>
    </font>
    <font>
      <name val="Arial"/>
      <b val="1"/>
      <color rgb="001F4E5F"/>
      <sz val="16"/>
    </font>
    <font>
      <name val="Arial"/>
      <b val="1"/>
    </font>
    <font>
      <name val="Arial"/>
      <sz val="11"/>
    </font>
    <font>
      <name val="Arial"/>
      <b val="1"/>
      <color rgb="001F4E5F"/>
      <sz val="12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i val="1"/>
      <color rgb="00666666"/>
      <sz val="9"/>
    </font>
    <font>
      <name val="Arial"/>
      <color rgb="00008000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0" fontId="7" fillId="3" borderId="1" pivotButton="0" quotePrefix="0" xfId="0"/>
    <xf numFmtId="0" fontId="8" fillId="0" borderId="0" pivotButton="0" quotePrefix="0" xfId="0"/>
    <xf numFmtId="0" fontId="7" fillId="0" borderId="1" pivotButton="0" quotePrefix="0" xfId="0"/>
    <xf numFmtId="164" fontId="7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10" fontId="9" fillId="0" borderId="1" pivotButton="0" quotePrefix="0" xfId="0"/>
    <xf numFmtId="164" fontId="6" fillId="0" borderId="1" pivotButton="0" quotePrefix="0" xfId="0"/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Payment Gateway TDR Settlement Audit Template</t>
        </is>
      </c>
    </row>
    <row r="4">
      <c r="B4" s="2" t="inlineStr">
        <is>
          <t>What this does</t>
        </is>
      </c>
    </row>
    <row r="5">
      <c r="B5" s="3" t="inlineStr">
        <is>
          <t>Checks every payment gateway settlement against your contracted TDR (Transaction Discount Rate) card - by payment method - and flags where the gateway deducted more than it should have.</t>
        </is>
      </c>
    </row>
    <row r="6">
      <c r="B6" s="3" t="n"/>
    </row>
    <row r="7">
      <c r="B7" s="3" t="inlineStr">
        <is>
          <t>How to use it</t>
        </is>
      </c>
    </row>
    <row r="8">
      <c r="B8" s="3" t="inlineStr">
        <is>
          <t>1. Go to the 'TDR Rate Card' tab and replace the sample rates with your own gateway contract rates (cells shaded yellow).</t>
        </is>
      </c>
    </row>
    <row r="9">
      <c r="B9" s="3" t="inlineStr">
        <is>
          <t>2. Go to the 'Settlement Data' tab and paste your own settlement export, replacing the sample rows (keep the same columns).</t>
        </is>
      </c>
    </row>
    <row r="10">
      <c r="B10" s="3" t="inlineStr">
        <is>
          <t>3. Open the 'Audit' tab - every transaction recalculates automatically and shows a Verdict: MATCH, OVERCHARGED, or UNDERBILLED.</t>
        </is>
      </c>
    </row>
    <row r="11">
      <c r="B11" s="3" t="inlineStr">
        <is>
          <t>4. Check the 'Summary Dashboard' tab for total overcharge amount and a payment-method breakdown - this is your refund claim list.</t>
        </is>
      </c>
    </row>
    <row r="12">
      <c r="B12" s="3" t="n"/>
    </row>
    <row r="13">
      <c r="B13" s="3" t="inlineStr">
        <is>
          <t>Notes</t>
        </is>
      </c>
    </row>
    <row r="14">
      <c r="B14" s="3" t="inlineStr">
        <is>
          <t>- All figures are in INR (Rs). Blue cells = inputs you edit. Black cells = formulas, don't overtype them.</t>
        </is>
      </c>
    </row>
    <row r="15">
      <c r="B15" s="3" t="inlineStr">
        <is>
          <t>- GST is applied on the TDR amount, not on the transaction amount - this template follows that convention.</t>
        </is>
      </c>
    </row>
    <row r="16">
      <c r="B16" s="3" t="inlineStr">
        <is>
          <t>- This is a generic template with illustrative sample data - it is not tied to any specific payment gateway or brand.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</cols>
  <sheetData>
    <row r="1">
      <c r="A1" s="4" t="inlineStr">
        <is>
          <t>TDR Rate Card - SAMPLE VALUES, replace with your own payment gateway contract</t>
        </is>
      </c>
    </row>
    <row r="3">
      <c r="A3" s="5" t="inlineStr">
        <is>
          <t>Payment Method</t>
        </is>
      </c>
      <c r="B3" s="5" t="inlineStr">
        <is>
          <t>TDR Rate (% of transaction amount)</t>
        </is>
      </c>
      <c r="C3" s="5" t="inlineStr">
        <is>
          <t>GST on TDR (%)</t>
        </is>
      </c>
    </row>
    <row r="4">
      <c r="A4" s="6" t="inlineStr">
        <is>
          <t>UPI</t>
        </is>
      </c>
      <c r="B4" s="7" t="n">
        <v>0.003</v>
      </c>
      <c r="C4" s="7" t="n">
        <v>0.18</v>
      </c>
    </row>
    <row r="5">
      <c r="A5" s="6" t="inlineStr">
        <is>
          <t>Debit Card</t>
        </is>
      </c>
      <c r="B5" s="7" t="n">
        <v>0.004</v>
      </c>
      <c r="C5" s="7" t="n">
        <v>0.18</v>
      </c>
    </row>
    <row r="6">
      <c r="A6" s="6" t="inlineStr">
        <is>
          <t>Credit Card</t>
        </is>
      </c>
      <c r="B6" s="7" t="n">
        <v>0.018</v>
      </c>
      <c r="C6" s="7" t="n">
        <v>0.18</v>
      </c>
    </row>
    <row r="7">
      <c r="A7" s="6" t="inlineStr">
        <is>
          <t>Netbanking</t>
        </is>
      </c>
      <c r="B7" s="7" t="n">
        <v>0.01</v>
      </c>
      <c r="C7" s="7" t="n">
        <v>0.18</v>
      </c>
    </row>
    <row r="8">
      <c r="A8" s="6" t="inlineStr">
        <is>
          <t>Wallet</t>
        </is>
      </c>
      <c r="B8" s="7" t="n">
        <v>0.015</v>
      </c>
      <c r="C8" s="7" t="n">
        <v>0.18</v>
      </c>
    </row>
    <row r="11">
      <c r="A11" s="8" t="inlineStr">
        <is>
          <t>Blue/yellow cells are sample inputs - overwrite with your own contracted TDR rates. Add more payment method rows if needed.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0" customWidth="1" min="4" max="4"/>
    <col width="26" customWidth="1" min="5" max="5"/>
    <col width="20" customWidth="1" min="6" max="6"/>
    <col width="20" customWidth="1" min="7" max="7"/>
  </cols>
  <sheetData>
    <row r="1">
      <c r="A1" s="5" t="inlineStr">
        <is>
          <t>Transaction ID</t>
        </is>
      </c>
      <c r="B1" s="5" t="inlineStr">
        <is>
          <t>Order ID</t>
        </is>
      </c>
      <c r="C1" s="5" t="inlineStr">
        <is>
          <t>Payment Method</t>
        </is>
      </c>
      <c r="D1" s="5" t="inlineStr">
        <is>
          <t>Transaction Amount (Rs)</t>
        </is>
      </c>
      <c r="E1" s="5" t="inlineStr">
        <is>
          <t>TDR Deducted by Gateway (Rs)</t>
        </is>
      </c>
      <c r="F1" s="5" t="inlineStr">
        <is>
          <t>GST on TDR Deducted (Rs)</t>
        </is>
      </c>
      <c r="G1" s="5" t="inlineStr">
        <is>
          <t>Net Settled Amount (Rs)</t>
        </is>
      </c>
    </row>
    <row r="2">
      <c r="A2" s="9" t="inlineStr">
        <is>
          <t>TXN90001</t>
        </is>
      </c>
      <c r="B2" s="9" t="inlineStr">
        <is>
          <t>ORD6001</t>
        </is>
      </c>
      <c r="C2" s="9" t="inlineStr">
        <is>
          <t>UPI</t>
        </is>
      </c>
      <c r="D2" s="10" t="n">
        <v>1299</v>
      </c>
      <c r="E2" s="10" t="n">
        <v>10.68</v>
      </c>
      <c r="F2" s="10" t="n">
        <v>1.92</v>
      </c>
      <c r="G2" s="10" t="n">
        <v>1286.4</v>
      </c>
    </row>
    <row r="3">
      <c r="A3" s="9" t="inlineStr">
        <is>
          <t>TXN90002</t>
        </is>
      </c>
      <c r="B3" s="9" t="inlineStr">
        <is>
          <t>ORD6002</t>
        </is>
      </c>
      <c r="C3" s="9" t="inlineStr">
        <is>
          <t>Credit Card</t>
        </is>
      </c>
      <c r="D3" s="10" t="n">
        <v>2499</v>
      </c>
      <c r="E3" s="10" t="n">
        <v>83.12</v>
      </c>
      <c r="F3" s="10" t="n">
        <v>14.96</v>
      </c>
      <c r="G3" s="10" t="n">
        <v>2400.92</v>
      </c>
    </row>
    <row r="4">
      <c r="A4" s="9" t="inlineStr">
        <is>
          <t>TXN90003</t>
        </is>
      </c>
      <c r="B4" s="9" t="inlineStr">
        <is>
          <t>ORD6003</t>
        </is>
      </c>
      <c r="C4" s="9" t="inlineStr">
        <is>
          <t>Debit Card</t>
        </is>
      </c>
      <c r="D4" s="10" t="n">
        <v>899</v>
      </c>
      <c r="E4" s="10" t="n">
        <v>3.6</v>
      </c>
      <c r="F4" s="10" t="n">
        <v>0.64</v>
      </c>
      <c r="G4" s="10" t="n">
        <v>894.76</v>
      </c>
    </row>
    <row r="5">
      <c r="A5" s="9" t="inlineStr">
        <is>
          <t>TXN90004</t>
        </is>
      </c>
      <c r="B5" s="9" t="inlineStr">
        <is>
          <t>ORD6004</t>
        </is>
      </c>
      <c r="C5" s="9" t="inlineStr">
        <is>
          <t>Netbanking</t>
        </is>
      </c>
      <c r="D5" s="10" t="n">
        <v>1799</v>
      </c>
      <c r="E5" s="10" t="n">
        <v>34.94</v>
      </c>
      <c r="F5" s="10" t="n">
        <v>6.29</v>
      </c>
      <c r="G5" s="10" t="n">
        <v>1757.77</v>
      </c>
    </row>
    <row r="6">
      <c r="A6" s="9" t="inlineStr">
        <is>
          <t>TXN90005</t>
        </is>
      </c>
      <c r="B6" s="9" t="inlineStr">
        <is>
          <t>ORD6005</t>
        </is>
      </c>
      <c r="C6" s="9" t="inlineStr">
        <is>
          <t>Wallet</t>
        </is>
      </c>
      <c r="D6" s="10" t="n">
        <v>599</v>
      </c>
      <c r="E6" s="10" t="n">
        <v>19.15</v>
      </c>
      <c r="F6" s="10" t="n">
        <v>3.45</v>
      </c>
      <c r="G6" s="10" t="n">
        <v>576.4</v>
      </c>
    </row>
    <row r="7">
      <c r="A7" s="9" t="inlineStr">
        <is>
          <t>TXN90006</t>
        </is>
      </c>
      <c r="B7" s="9" t="inlineStr">
        <is>
          <t>ORD6006</t>
        </is>
      </c>
      <c r="C7" s="9" t="inlineStr">
        <is>
          <t>UPI</t>
        </is>
      </c>
      <c r="D7" s="10" t="n">
        <v>3499</v>
      </c>
      <c r="E7" s="10" t="n">
        <v>10.5</v>
      </c>
      <c r="F7" s="10" t="n">
        <v>1.89</v>
      </c>
      <c r="G7" s="10" t="n">
        <v>3486.61</v>
      </c>
    </row>
    <row r="8">
      <c r="A8" s="9" t="inlineStr">
        <is>
          <t>TXN90007</t>
        </is>
      </c>
      <c r="B8" s="9" t="inlineStr">
        <is>
          <t>ORD6007</t>
        </is>
      </c>
      <c r="C8" s="9" t="inlineStr">
        <is>
          <t>Credit Card</t>
        </is>
      </c>
      <c r="D8" s="10" t="n">
        <v>4299</v>
      </c>
      <c r="E8" s="10" t="n">
        <v>128.23</v>
      </c>
      <c r="F8" s="10" t="n">
        <v>23.08</v>
      </c>
      <c r="G8" s="10" t="n">
        <v>4147.69</v>
      </c>
    </row>
    <row r="9">
      <c r="A9" s="9" t="inlineStr">
        <is>
          <t>TXN90008</t>
        </is>
      </c>
      <c r="B9" s="9" t="inlineStr">
        <is>
          <t>ORD6008</t>
        </is>
      </c>
      <c r="C9" s="9" t="inlineStr">
        <is>
          <t>Debit Card</t>
        </is>
      </c>
      <c r="D9" s="10" t="n">
        <v>1099</v>
      </c>
      <c r="E9" s="10" t="n">
        <v>17.11</v>
      </c>
      <c r="F9" s="10" t="n">
        <v>3.08</v>
      </c>
      <c r="G9" s="10" t="n">
        <v>1078.81</v>
      </c>
    </row>
    <row r="10">
      <c r="A10" s="9" t="inlineStr">
        <is>
          <t>TXN90009</t>
        </is>
      </c>
      <c r="B10" s="9" t="inlineStr">
        <is>
          <t>ORD6009</t>
        </is>
      </c>
      <c r="C10" s="9" t="inlineStr">
        <is>
          <t>Netbanking</t>
        </is>
      </c>
      <c r="D10" s="10" t="n">
        <v>2199</v>
      </c>
      <c r="E10" s="10" t="n">
        <v>43.18</v>
      </c>
      <c r="F10" s="10" t="n">
        <v>7.77</v>
      </c>
      <c r="G10" s="10" t="n">
        <v>2148.05</v>
      </c>
    </row>
    <row r="11">
      <c r="A11" s="9" t="inlineStr">
        <is>
          <t>TXN90010</t>
        </is>
      </c>
      <c r="B11" s="9" t="inlineStr">
        <is>
          <t>ORD6010</t>
        </is>
      </c>
      <c r="C11" s="9" t="inlineStr">
        <is>
          <t>Wallet</t>
        </is>
      </c>
      <c r="D11" s="10" t="n">
        <v>1499</v>
      </c>
      <c r="E11" s="10" t="n">
        <v>37.74</v>
      </c>
      <c r="F11" s="10" t="n">
        <v>6.79</v>
      </c>
      <c r="G11" s="10" t="n">
        <v>1454.47</v>
      </c>
    </row>
    <row r="12">
      <c r="A12" s="9" t="inlineStr">
        <is>
          <t>TXN90011</t>
        </is>
      </c>
      <c r="B12" s="9" t="inlineStr">
        <is>
          <t>ORD6011</t>
        </is>
      </c>
      <c r="C12" s="9" t="inlineStr">
        <is>
          <t>UPI</t>
        </is>
      </c>
      <c r="D12" s="10" t="n">
        <v>999</v>
      </c>
      <c r="E12" s="10" t="n">
        <v>2.15</v>
      </c>
      <c r="F12" s="10" t="n">
        <v>0.39</v>
      </c>
      <c r="G12" s="10" t="n">
        <v>996.46</v>
      </c>
    </row>
    <row r="13">
      <c r="A13" s="9" t="inlineStr">
        <is>
          <t>TXN90012</t>
        </is>
      </c>
      <c r="B13" s="9" t="inlineStr">
        <is>
          <t>ORD6012</t>
        </is>
      </c>
      <c r="C13" s="9" t="inlineStr">
        <is>
          <t>Credit Card</t>
        </is>
      </c>
      <c r="D13" s="10" t="n">
        <v>5499</v>
      </c>
      <c r="E13" s="10" t="n">
        <v>175.25</v>
      </c>
      <c r="F13" s="10" t="n">
        <v>31.55</v>
      </c>
      <c r="G13" s="10" t="n">
        <v>5292.2</v>
      </c>
    </row>
    <row r="16">
      <c r="A16" s="8" t="inlineStr">
        <is>
          <t>Replace these sample rows with your own settlement export. Keep the same column order.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8" customWidth="1" min="10" max="10"/>
    <col width="14" customWidth="1" min="11" max="11"/>
    <col width="14" customWidth="1" min="12" max="12"/>
  </cols>
  <sheetData>
    <row r="1">
      <c r="A1" s="5" t="inlineStr">
        <is>
          <t>Transaction ID</t>
        </is>
      </c>
      <c r="B1" s="5" t="inlineStr">
        <is>
          <t>Payment Method</t>
        </is>
      </c>
      <c r="C1" s="5" t="inlineStr">
        <is>
          <t>Transaction Amount (Rs)</t>
        </is>
      </c>
      <c r="D1" s="5" t="inlineStr">
        <is>
          <t>Expected TDR Rate (%)</t>
        </is>
      </c>
      <c r="E1" s="5" t="inlineStr">
        <is>
          <t>Expected TDR Amount (Rs)</t>
        </is>
      </c>
      <c r="F1" s="5" t="inlineStr">
        <is>
          <t>Expected GST on TDR (Rs)</t>
        </is>
      </c>
      <c r="G1" s="5" t="inlineStr">
        <is>
          <t>Expected Total Deduction (Rs)</t>
        </is>
      </c>
      <c r="H1" s="5" t="inlineStr">
        <is>
          <t>Actual TDR Deducted (Rs)</t>
        </is>
      </c>
      <c r="I1" s="5" t="inlineStr">
        <is>
          <t>Actual GST Deducted (Rs)</t>
        </is>
      </c>
      <c r="J1" s="5" t="inlineStr">
        <is>
          <t>Actual Total Deduction (Rs)</t>
        </is>
      </c>
      <c r="K1" s="5" t="inlineStr">
        <is>
          <t>Variance (Rs)</t>
        </is>
      </c>
      <c r="L1" s="5" t="inlineStr">
        <is>
          <t>Verdict</t>
        </is>
      </c>
    </row>
    <row r="2">
      <c r="A2" s="11">
        <f>'Settlement Data'!A2</f>
        <v/>
      </c>
      <c r="B2" s="11">
        <f>'Settlement Data'!C2</f>
        <v/>
      </c>
      <c r="C2" s="12">
        <f>'Settlement Data'!D2</f>
        <v/>
      </c>
      <c r="D2" s="13">
        <f>INDEX('TDR Rate Card'!$B$4:$B$8,MATCH(B2,'TDR Rate Card'!$A$4:$A$8,0))</f>
        <v/>
      </c>
      <c r="E2" s="14">
        <f>C2*D2</f>
        <v/>
      </c>
      <c r="F2" s="12">
        <f>E2*INDEX('TDR Rate Card'!$C$4:$C$8,MATCH(B2,'TDR Rate Card'!$A$4:$A$8,0))</f>
        <v/>
      </c>
      <c r="G2" s="14">
        <f>E2+F2</f>
        <v/>
      </c>
      <c r="H2" s="12">
        <f>'Settlement Data'!E2</f>
        <v/>
      </c>
      <c r="I2" s="12">
        <f>'Settlement Data'!F2</f>
        <v/>
      </c>
      <c r="J2" s="14">
        <f>H2+I2</f>
        <v/>
      </c>
      <c r="K2" s="14">
        <f>J2-G2</f>
        <v/>
      </c>
      <c r="L2" s="6">
        <f>IF(K2&gt;0.5,"OVERCHARGED",IF(K2&lt;-0.5,"UNDERBILLED","MATCH"))</f>
        <v/>
      </c>
    </row>
    <row r="3">
      <c r="A3" s="11">
        <f>'Settlement Data'!A3</f>
        <v/>
      </c>
      <c r="B3" s="11">
        <f>'Settlement Data'!C3</f>
        <v/>
      </c>
      <c r="C3" s="12">
        <f>'Settlement Data'!D3</f>
        <v/>
      </c>
      <c r="D3" s="13">
        <f>INDEX('TDR Rate Card'!$B$4:$B$8,MATCH(B3,'TDR Rate Card'!$A$4:$A$8,0))</f>
        <v/>
      </c>
      <c r="E3" s="14">
        <f>C3*D3</f>
        <v/>
      </c>
      <c r="F3" s="12">
        <f>E3*INDEX('TDR Rate Card'!$C$4:$C$8,MATCH(B3,'TDR Rate Card'!$A$4:$A$8,0))</f>
        <v/>
      </c>
      <c r="G3" s="14">
        <f>E3+F3</f>
        <v/>
      </c>
      <c r="H3" s="12">
        <f>'Settlement Data'!E3</f>
        <v/>
      </c>
      <c r="I3" s="12">
        <f>'Settlement Data'!F3</f>
        <v/>
      </c>
      <c r="J3" s="14">
        <f>H3+I3</f>
        <v/>
      </c>
      <c r="K3" s="14">
        <f>J3-G3</f>
        <v/>
      </c>
      <c r="L3" s="6">
        <f>IF(K3&gt;0.5,"OVERCHARGED",IF(K3&lt;-0.5,"UNDERBILLED","MATCH"))</f>
        <v/>
      </c>
    </row>
    <row r="4">
      <c r="A4" s="11">
        <f>'Settlement Data'!A4</f>
        <v/>
      </c>
      <c r="B4" s="11">
        <f>'Settlement Data'!C4</f>
        <v/>
      </c>
      <c r="C4" s="12">
        <f>'Settlement Data'!D4</f>
        <v/>
      </c>
      <c r="D4" s="13">
        <f>INDEX('TDR Rate Card'!$B$4:$B$8,MATCH(B4,'TDR Rate Card'!$A$4:$A$8,0))</f>
        <v/>
      </c>
      <c r="E4" s="14">
        <f>C4*D4</f>
        <v/>
      </c>
      <c r="F4" s="12">
        <f>E4*INDEX('TDR Rate Card'!$C$4:$C$8,MATCH(B4,'TDR Rate Card'!$A$4:$A$8,0))</f>
        <v/>
      </c>
      <c r="G4" s="14">
        <f>E4+F4</f>
        <v/>
      </c>
      <c r="H4" s="12">
        <f>'Settlement Data'!E4</f>
        <v/>
      </c>
      <c r="I4" s="12">
        <f>'Settlement Data'!F4</f>
        <v/>
      </c>
      <c r="J4" s="14">
        <f>H4+I4</f>
        <v/>
      </c>
      <c r="K4" s="14">
        <f>J4-G4</f>
        <v/>
      </c>
      <c r="L4" s="6">
        <f>IF(K4&gt;0.5,"OVERCHARGED",IF(K4&lt;-0.5,"UNDERBILLED","MATCH"))</f>
        <v/>
      </c>
    </row>
    <row r="5">
      <c r="A5" s="11">
        <f>'Settlement Data'!A5</f>
        <v/>
      </c>
      <c r="B5" s="11">
        <f>'Settlement Data'!C5</f>
        <v/>
      </c>
      <c r="C5" s="12">
        <f>'Settlement Data'!D5</f>
        <v/>
      </c>
      <c r="D5" s="13">
        <f>INDEX('TDR Rate Card'!$B$4:$B$8,MATCH(B5,'TDR Rate Card'!$A$4:$A$8,0))</f>
        <v/>
      </c>
      <c r="E5" s="14">
        <f>C5*D5</f>
        <v/>
      </c>
      <c r="F5" s="12">
        <f>E5*INDEX('TDR Rate Card'!$C$4:$C$8,MATCH(B5,'TDR Rate Card'!$A$4:$A$8,0))</f>
        <v/>
      </c>
      <c r="G5" s="14">
        <f>E5+F5</f>
        <v/>
      </c>
      <c r="H5" s="12">
        <f>'Settlement Data'!E5</f>
        <v/>
      </c>
      <c r="I5" s="12">
        <f>'Settlement Data'!F5</f>
        <v/>
      </c>
      <c r="J5" s="14">
        <f>H5+I5</f>
        <v/>
      </c>
      <c r="K5" s="14">
        <f>J5-G5</f>
        <v/>
      </c>
      <c r="L5" s="6">
        <f>IF(K5&gt;0.5,"OVERCHARGED",IF(K5&lt;-0.5,"UNDERBILLED","MATCH"))</f>
        <v/>
      </c>
    </row>
    <row r="6">
      <c r="A6" s="11">
        <f>'Settlement Data'!A6</f>
        <v/>
      </c>
      <c r="B6" s="11">
        <f>'Settlement Data'!C6</f>
        <v/>
      </c>
      <c r="C6" s="12">
        <f>'Settlement Data'!D6</f>
        <v/>
      </c>
      <c r="D6" s="13">
        <f>INDEX('TDR Rate Card'!$B$4:$B$8,MATCH(B6,'TDR Rate Card'!$A$4:$A$8,0))</f>
        <v/>
      </c>
      <c r="E6" s="14">
        <f>C6*D6</f>
        <v/>
      </c>
      <c r="F6" s="12">
        <f>E6*INDEX('TDR Rate Card'!$C$4:$C$8,MATCH(B6,'TDR Rate Card'!$A$4:$A$8,0))</f>
        <v/>
      </c>
      <c r="G6" s="14">
        <f>E6+F6</f>
        <v/>
      </c>
      <c r="H6" s="12">
        <f>'Settlement Data'!E6</f>
        <v/>
      </c>
      <c r="I6" s="12">
        <f>'Settlement Data'!F6</f>
        <v/>
      </c>
      <c r="J6" s="14">
        <f>H6+I6</f>
        <v/>
      </c>
      <c r="K6" s="14">
        <f>J6-G6</f>
        <v/>
      </c>
      <c r="L6" s="6">
        <f>IF(K6&gt;0.5,"OVERCHARGED",IF(K6&lt;-0.5,"UNDERBILLED","MATCH"))</f>
        <v/>
      </c>
    </row>
    <row r="7">
      <c r="A7" s="11">
        <f>'Settlement Data'!A7</f>
        <v/>
      </c>
      <c r="B7" s="11">
        <f>'Settlement Data'!C7</f>
        <v/>
      </c>
      <c r="C7" s="12">
        <f>'Settlement Data'!D7</f>
        <v/>
      </c>
      <c r="D7" s="13">
        <f>INDEX('TDR Rate Card'!$B$4:$B$8,MATCH(B7,'TDR Rate Card'!$A$4:$A$8,0))</f>
        <v/>
      </c>
      <c r="E7" s="14">
        <f>C7*D7</f>
        <v/>
      </c>
      <c r="F7" s="12">
        <f>E7*INDEX('TDR Rate Card'!$C$4:$C$8,MATCH(B7,'TDR Rate Card'!$A$4:$A$8,0))</f>
        <v/>
      </c>
      <c r="G7" s="14">
        <f>E7+F7</f>
        <v/>
      </c>
      <c r="H7" s="12">
        <f>'Settlement Data'!E7</f>
        <v/>
      </c>
      <c r="I7" s="12">
        <f>'Settlement Data'!F7</f>
        <v/>
      </c>
      <c r="J7" s="14">
        <f>H7+I7</f>
        <v/>
      </c>
      <c r="K7" s="14">
        <f>J7-G7</f>
        <v/>
      </c>
      <c r="L7" s="6">
        <f>IF(K7&gt;0.5,"OVERCHARGED",IF(K7&lt;-0.5,"UNDERBILLED","MATCH"))</f>
        <v/>
      </c>
    </row>
    <row r="8">
      <c r="A8" s="11">
        <f>'Settlement Data'!A8</f>
        <v/>
      </c>
      <c r="B8" s="11">
        <f>'Settlement Data'!C8</f>
        <v/>
      </c>
      <c r="C8" s="12">
        <f>'Settlement Data'!D8</f>
        <v/>
      </c>
      <c r="D8" s="13">
        <f>INDEX('TDR Rate Card'!$B$4:$B$8,MATCH(B8,'TDR Rate Card'!$A$4:$A$8,0))</f>
        <v/>
      </c>
      <c r="E8" s="14">
        <f>C8*D8</f>
        <v/>
      </c>
      <c r="F8" s="12">
        <f>E8*INDEX('TDR Rate Card'!$C$4:$C$8,MATCH(B8,'TDR Rate Card'!$A$4:$A$8,0))</f>
        <v/>
      </c>
      <c r="G8" s="14">
        <f>E8+F8</f>
        <v/>
      </c>
      <c r="H8" s="12">
        <f>'Settlement Data'!E8</f>
        <v/>
      </c>
      <c r="I8" s="12">
        <f>'Settlement Data'!F8</f>
        <v/>
      </c>
      <c r="J8" s="14">
        <f>H8+I8</f>
        <v/>
      </c>
      <c r="K8" s="14">
        <f>J8-G8</f>
        <v/>
      </c>
      <c r="L8" s="6">
        <f>IF(K8&gt;0.5,"OVERCHARGED",IF(K8&lt;-0.5,"UNDERBILLED","MATCH"))</f>
        <v/>
      </c>
    </row>
    <row r="9">
      <c r="A9" s="11">
        <f>'Settlement Data'!A9</f>
        <v/>
      </c>
      <c r="B9" s="11">
        <f>'Settlement Data'!C9</f>
        <v/>
      </c>
      <c r="C9" s="12">
        <f>'Settlement Data'!D9</f>
        <v/>
      </c>
      <c r="D9" s="13">
        <f>INDEX('TDR Rate Card'!$B$4:$B$8,MATCH(B9,'TDR Rate Card'!$A$4:$A$8,0))</f>
        <v/>
      </c>
      <c r="E9" s="14">
        <f>C9*D9</f>
        <v/>
      </c>
      <c r="F9" s="12">
        <f>E9*INDEX('TDR Rate Card'!$C$4:$C$8,MATCH(B9,'TDR Rate Card'!$A$4:$A$8,0))</f>
        <v/>
      </c>
      <c r="G9" s="14">
        <f>E9+F9</f>
        <v/>
      </c>
      <c r="H9" s="12">
        <f>'Settlement Data'!E9</f>
        <v/>
      </c>
      <c r="I9" s="12">
        <f>'Settlement Data'!F9</f>
        <v/>
      </c>
      <c r="J9" s="14">
        <f>H9+I9</f>
        <v/>
      </c>
      <c r="K9" s="14">
        <f>J9-G9</f>
        <v/>
      </c>
      <c r="L9" s="6">
        <f>IF(K9&gt;0.5,"OVERCHARGED",IF(K9&lt;-0.5,"UNDERBILLED","MATCH"))</f>
        <v/>
      </c>
    </row>
    <row r="10">
      <c r="A10" s="11">
        <f>'Settlement Data'!A10</f>
        <v/>
      </c>
      <c r="B10" s="11">
        <f>'Settlement Data'!C10</f>
        <v/>
      </c>
      <c r="C10" s="12">
        <f>'Settlement Data'!D10</f>
        <v/>
      </c>
      <c r="D10" s="13">
        <f>INDEX('TDR Rate Card'!$B$4:$B$8,MATCH(B10,'TDR Rate Card'!$A$4:$A$8,0))</f>
        <v/>
      </c>
      <c r="E10" s="14">
        <f>C10*D10</f>
        <v/>
      </c>
      <c r="F10" s="12">
        <f>E10*INDEX('TDR Rate Card'!$C$4:$C$8,MATCH(B10,'TDR Rate Card'!$A$4:$A$8,0))</f>
        <v/>
      </c>
      <c r="G10" s="14">
        <f>E10+F10</f>
        <v/>
      </c>
      <c r="H10" s="12">
        <f>'Settlement Data'!E10</f>
        <v/>
      </c>
      <c r="I10" s="12">
        <f>'Settlement Data'!F10</f>
        <v/>
      </c>
      <c r="J10" s="14">
        <f>H10+I10</f>
        <v/>
      </c>
      <c r="K10" s="14">
        <f>J10-G10</f>
        <v/>
      </c>
      <c r="L10" s="6">
        <f>IF(K10&gt;0.5,"OVERCHARGED",IF(K10&lt;-0.5,"UNDERBILLED","MATCH"))</f>
        <v/>
      </c>
    </row>
    <row r="11">
      <c r="A11" s="11">
        <f>'Settlement Data'!A11</f>
        <v/>
      </c>
      <c r="B11" s="11">
        <f>'Settlement Data'!C11</f>
        <v/>
      </c>
      <c r="C11" s="12">
        <f>'Settlement Data'!D11</f>
        <v/>
      </c>
      <c r="D11" s="13">
        <f>INDEX('TDR Rate Card'!$B$4:$B$8,MATCH(B11,'TDR Rate Card'!$A$4:$A$8,0))</f>
        <v/>
      </c>
      <c r="E11" s="14">
        <f>C11*D11</f>
        <v/>
      </c>
      <c r="F11" s="12">
        <f>E11*INDEX('TDR Rate Card'!$C$4:$C$8,MATCH(B11,'TDR Rate Card'!$A$4:$A$8,0))</f>
        <v/>
      </c>
      <c r="G11" s="14">
        <f>E11+F11</f>
        <v/>
      </c>
      <c r="H11" s="12">
        <f>'Settlement Data'!E11</f>
        <v/>
      </c>
      <c r="I11" s="12">
        <f>'Settlement Data'!F11</f>
        <v/>
      </c>
      <c r="J11" s="14">
        <f>H11+I11</f>
        <v/>
      </c>
      <c r="K11" s="14">
        <f>J11-G11</f>
        <v/>
      </c>
      <c r="L11" s="6">
        <f>IF(K11&gt;0.5,"OVERCHARGED",IF(K11&lt;-0.5,"UNDERBILLED","MATCH"))</f>
        <v/>
      </c>
    </row>
    <row r="12">
      <c r="A12" s="11">
        <f>'Settlement Data'!A12</f>
        <v/>
      </c>
      <c r="B12" s="11">
        <f>'Settlement Data'!C12</f>
        <v/>
      </c>
      <c r="C12" s="12">
        <f>'Settlement Data'!D12</f>
        <v/>
      </c>
      <c r="D12" s="13">
        <f>INDEX('TDR Rate Card'!$B$4:$B$8,MATCH(B12,'TDR Rate Card'!$A$4:$A$8,0))</f>
        <v/>
      </c>
      <c r="E12" s="14">
        <f>C12*D12</f>
        <v/>
      </c>
      <c r="F12" s="12">
        <f>E12*INDEX('TDR Rate Card'!$C$4:$C$8,MATCH(B12,'TDR Rate Card'!$A$4:$A$8,0))</f>
        <v/>
      </c>
      <c r="G12" s="14">
        <f>E12+F12</f>
        <v/>
      </c>
      <c r="H12" s="12">
        <f>'Settlement Data'!E12</f>
        <v/>
      </c>
      <c r="I12" s="12">
        <f>'Settlement Data'!F12</f>
        <v/>
      </c>
      <c r="J12" s="14">
        <f>H12+I12</f>
        <v/>
      </c>
      <c r="K12" s="14">
        <f>J12-G12</f>
        <v/>
      </c>
      <c r="L12" s="6">
        <f>IF(K12&gt;0.5,"OVERCHARGED",IF(K12&lt;-0.5,"UNDERBILLED","MATCH"))</f>
        <v/>
      </c>
    </row>
    <row r="13">
      <c r="A13" s="11">
        <f>'Settlement Data'!A13</f>
        <v/>
      </c>
      <c r="B13" s="11">
        <f>'Settlement Data'!C13</f>
        <v/>
      </c>
      <c r="C13" s="12">
        <f>'Settlement Data'!D13</f>
        <v/>
      </c>
      <c r="D13" s="13">
        <f>INDEX('TDR Rate Card'!$B$4:$B$8,MATCH(B13,'TDR Rate Card'!$A$4:$A$8,0))</f>
        <v/>
      </c>
      <c r="E13" s="14">
        <f>C13*D13</f>
        <v/>
      </c>
      <c r="F13" s="12">
        <f>E13*INDEX('TDR Rate Card'!$C$4:$C$8,MATCH(B13,'TDR Rate Card'!$A$4:$A$8,0))</f>
        <v/>
      </c>
      <c r="G13" s="14">
        <f>E13+F13</f>
        <v/>
      </c>
      <c r="H13" s="12">
        <f>'Settlement Data'!E13</f>
        <v/>
      </c>
      <c r="I13" s="12">
        <f>'Settlement Data'!F13</f>
        <v/>
      </c>
      <c r="J13" s="14">
        <f>H13+I13</f>
        <v/>
      </c>
      <c r="K13" s="14">
        <f>J13-G13</f>
        <v/>
      </c>
      <c r="L13" s="6">
        <f>IF(K13&gt;0.5,"OVERCHARGED",IF(K13&lt;-0.5,"UNDERBILLED","MATCH"))</f>
        <v/>
      </c>
    </row>
  </sheetData>
  <conditionalFormatting sqref="L2:L13">
    <cfRule type="cellIs" priority="1" operator="equal" dxfId="0">
      <formula>"OVERCHARGED"</formula>
    </cfRule>
    <cfRule type="cellIs" priority="2" operator="equal" dxfId="1">
      <formula>"UNDERBILLED"</formula>
    </cfRule>
    <cfRule type="cellIs" priority="3" operator="equal" dxfId="2">
      <formula>"MATCH"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4" customWidth="1" min="3" max="3"/>
    <col width="22" customWidth="1" min="4" max="4"/>
    <col width="20" customWidth="1" min="5" max="5"/>
  </cols>
  <sheetData>
    <row r="2">
      <c r="B2" s="1" t="inlineStr">
        <is>
          <t>Settlement Audit Summary</t>
        </is>
      </c>
    </row>
    <row r="4">
      <c r="B4" s="2" t="inlineStr">
        <is>
          <t>Total Transactions Audited</t>
        </is>
      </c>
      <c r="D4" s="15">
        <f>COUNTA(Audit!A2:A13)</f>
        <v/>
      </c>
    </row>
    <row r="5">
      <c r="B5" s="2" t="inlineStr">
        <is>
          <t>Total Transaction Value (Rs)</t>
        </is>
      </c>
      <c r="D5" s="16">
        <f>SUM(Audit!C2:C13)</f>
        <v/>
      </c>
    </row>
    <row r="6">
      <c r="B6" s="2" t="inlineStr">
        <is>
          <t>Total Actual Deduction (Rs)</t>
        </is>
      </c>
      <c r="D6" s="16">
        <f>SUM(Audit!J2:J13)</f>
        <v/>
      </c>
    </row>
    <row r="7">
      <c r="B7" s="2" t="inlineStr">
        <is>
          <t>Total Expected Deduction (Rs)</t>
        </is>
      </c>
      <c r="D7" s="16">
        <f>SUM(Audit!G2:G13)</f>
        <v/>
      </c>
    </row>
    <row r="8">
      <c r="B8" s="2" t="inlineStr">
        <is>
          <t>Net Variance (Rs)</t>
        </is>
      </c>
      <c r="D8" s="16">
        <f>SUM(Audit!K2:K13)</f>
        <v/>
      </c>
    </row>
    <row r="9">
      <c r="B9" s="2" t="inlineStr">
        <is>
          <t>Transactions Overcharged</t>
        </is>
      </c>
      <c r="D9" s="15">
        <f>COUNTIF(Audit!L2:L13,"OVERCHARGED")</f>
        <v/>
      </c>
    </row>
    <row r="10">
      <c r="B10" s="2" t="inlineStr">
        <is>
          <t>Total Overcharge - Refund Claimable (Rs)</t>
        </is>
      </c>
      <c r="D10" s="16">
        <f>SUMIF(Audit!L2:L13,"OVERCHARGED",Audit!K2:K13)</f>
        <v/>
      </c>
    </row>
    <row r="11">
      <c r="B11" s="2" t="inlineStr">
        <is>
          <t>Transactions Underbilled (gateway's loss, FYI)</t>
        </is>
      </c>
      <c r="D11" s="15">
        <f>COUNTIF(Audit!L2:L13,"UNDERBILLED")</f>
        <v/>
      </c>
    </row>
    <row r="13">
      <c r="B13" s="2" t="inlineStr">
        <is>
          <t>Payment-Method Breakdown</t>
        </is>
      </c>
    </row>
    <row r="15">
      <c r="B15" s="5" t="inlineStr">
        <is>
          <t>Payment Method</t>
        </is>
      </c>
      <c r="C15" s="5" t="inlineStr">
        <is>
          <t>Transactions</t>
        </is>
      </c>
      <c r="D15" s="5" t="inlineStr">
        <is>
          <t>Total Deducted (Rs)</t>
        </is>
      </c>
      <c r="E15" s="5" t="inlineStr">
        <is>
          <t>Total Expected (Rs)</t>
        </is>
      </c>
      <c r="F15" s="5" t="inlineStr">
        <is>
          <t>Overcharge Amount (Rs)</t>
        </is>
      </c>
    </row>
    <row r="16">
      <c r="B16" s="6" t="inlineStr">
        <is>
          <t>UPI</t>
        </is>
      </c>
      <c r="C16" s="6">
        <f>COUNTIF(Audit!$B$2:$B$13,B16)</f>
        <v/>
      </c>
      <c r="D16" s="14">
        <f>SUMIF(Audit!$B$2:$B$13,B16,Audit!$J$2:$J$13)</f>
        <v/>
      </c>
      <c r="E16" s="14">
        <f>SUMIF(Audit!$B$2:$B$13,B16,Audit!$G$2:$G$13)</f>
        <v/>
      </c>
      <c r="F16" s="14">
        <f>SUMIFS(Audit!$K$2:$K$13,Audit!$B$2:$B$13,B16,Audit!$L$2:$L$13,"OVERCHARGED")</f>
        <v/>
      </c>
    </row>
    <row r="17">
      <c r="B17" s="6" t="inlineStr">
        <is>
          <t>Debit Card</t>
        </is>
      </c>
      <c r="C17" s="6">
        <f>COUNTIF(Audit!$B$2:$B$13,B17)</f>
        <v/>
      </c>
      <c r="D17" s="14">
        <f>SUMIF(Audit!$B$2:$B$13,B17,Audit!$J$2:$J$13)</f>
        <v/>
      </c>
      <c r="E17" s="14">
        <f>SUMIF(Audit!$B$2:$B$13,B17,Audit!$G$2:$G$13)</f>
        <v/>
      </c>
      <c r="F17" s="14">
        <f>SUMIFS(Audit!$K$2:$K$13,Audit!$B$2:$B$13,B17,Audit!$L$2:$L$13,"OVERCHARGED")</f>
        <v/>
      </c>
    </row>
    <row r="18">
      <c r="B18" s="6" t="inlineStr">
        <is>
          <t>Credit Card</t>
        </is>
      </c>
      <c r="C18" s="6">
        <f>COUNTIF(Audit!$B$2:$B$13,B18)</f>
        <v/>
      </c>
      <c r="D18" s="14">
        <f>SUMIF(Audit!$B$2:$B$13,B18,Audit!$J$2:$J$13)</f>
        <v/>
      </c>
      <c r="E18" s="14">
        <f>SUMIF(Audit!$B$2:$B$13,B18,Audit!$G$2:$G$13)</f>
        <v/>
      </c>
      <c r="F18" s="14">
        <f>SUMIFS(Audit!$K$2:$K$13,Audit!$B$2:$B$13,B18,Audit!$L$2:$L$13,"OVERCHARGED")</f>
        <v/>
      </c>
    </row>
    <row r="19">
      <c r="B19" s="6" t="inlineStr">
        <is>
          <t>Netbanking</t>
        </is>
      </c>
      <c r="C19" s="6">
        <f>COUNTIF(Audit!$B$2:$B$13,B19)</f>
        <v/>
      </c>
      <c r="D19" s="14">
        <f>SUMIF(Audit!$B$2:$B$13,B19,Audit!$J$2:$J$13)</f>
        <v/>
      </c>
      <c r="E19" s="14">
        <f>SUMIF(Audit!$B$2:$B$13,B19,Audit!$G$2:$G$13)</f>
        <v/>
      </c>
      <c r="F19" s="14">
        <f>SUMIFS(Audit!$K$2:$K$13,Audit!$B$2:$B$13,B19,Audit!$L$2:$L$13,"OVERCHARGED")</f>
        <v/>
      </c>
    </row>
    <row r="20">
      <c r="B20" s="6" t="inlineStr">
        <is>
          <t>Wallet</t>
        </is>
      </c>
      <c r="C20" s="6">
        <f>COUNTIF(Audit!$B$2:$B$13,B20)</f>
        <v/>
      </c>
      <c r="D20" s="14">
        <f>SUMIF(Audit!$B$2:$B$13,B20,Audit!$J$2:$J$13)</f>
        <v/>
      </c>
      <c r="E20" s="14">
        <f>SUMIF(Audit!$B$2:$B$13,B20,Audit!$G$2:$G$13)</f>
        <v/>
      </c>
      <c r="F20" s="14">
        <f>SUMIFS(Audit!$K$2:$K$13,Audit!$B$2:$B$13,B20,Audit!$L$2:$L$13,"OVERCHARGED")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2026-07-06T07:00:21Z</dcterms:created>
  <dcterms:modified xmlns:dcterms="http://purl.org/dc/terms/" xmlns:xsi="http://www.w3.org/2001/XMLSchema-instance" xsi:type="dcterms:W3CDTF">2026-07-06T07:00:21Z</dcterms:modified>
</cp:coreProperties>
</file>