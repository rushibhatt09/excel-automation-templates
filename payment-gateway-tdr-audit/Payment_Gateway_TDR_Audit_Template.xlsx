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66e99d96e0a689b/Documents/excel-automation-templates/payment-gateway-tdr-audit/"/>
    </mc:Choice>
  </mc:AlternateContent>
  <xr:revisionPtr revIDLastSave="18" documentId="11_789ECCD99A3761E49BA99FB1595E118CAFF26961" xr6:coauthVersionLast="47" xr6:coauthVersionMax="47" xr10:uidLastSave="{00994B16-FFBE-4F15-825D-44BC99A61A37}"/>
  <bookViews>
    <workbookView xWindow="-108" yWindow="-108" windowWidth="23256" windowHeight="12456" activeTab="4" xr2:uid="{00000000-000D-0000-FFFF-FFFF00000000}"/>
  </bookViews>
  <sheets>
    <sheet name="Read Me" sheetId="1" r:id="rId1"/>
    <sheet name="TDR Rate Card" sheetId="2" r:id="rId2"/>
    <sheet name="Settlement Data" sheetId="3" r:id="rId3"/>
    <sheet name="Audit" sheetId="4" r:id="rId4"/>
    <sheet name="Summary Dashboar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4" l="1"/>
  <c r="H13" i="4"/>
  <c r="J13" i="4" s="1"/>
  <c r="C13" i="4"/>
  <c r="B13" i="4"/>
  <c r="D13" i="4" s="1"/>
  <c r="A13" i="4"/>
  <c r="I12" i="4"/>
  <c r="H12" i="4"/>
  <c r="C12" i="4"/>
  <c r="B12" i="4"/>
  <c r="D12" i="4" s="1"/>
  <c r="A12" i="4"/>
  <c r="I11" i="4"/>
  <c r="H11" i="4"/>
  <c r="C11" i="4"/>
  <c r="B11" i="4"/>
  <c r="D11" i="4" s="1"/>
  <c r="A11" i="4"/>
  <c r="I10" i="4"/>
  <c r="H10" i="4"/>
  <c r="C10" i="4"/>
  <c r="B10" i="4"/>
  <c r="D10" i="4" s="1"/>
  <c r="A10" i="4"/>
  <c r="I9" i="4"/>
  <c r="H9" i="4"/>
  <c r="C9" i="4"/>
  <c r="B9" i="4"/>
  <c r="D9" i="4" s="1"/>
  <c r="A9" i="4"/>
  <c r="I8" i="4"/>
  <c r="H8" i="4"/>
  <c r="C8" i="4"/>
  <c r="B8" i="4"/>
  <c r="D8" i="4" s="1"/>
  <c r="A8" i="4"/>
  <c r="I7" i="4"/>
  <c r="H7" i="4"/>
  <c r="C7" i="4"/>
  <c r="B7" i="4"/>
  <c r="D7" i="4" s="1"/>
  <c r="A7" i="4"/>
  <c r="I6" i="4"/>
  <c r="H6" i="4"/>
  <c r="C6" i="4"/>
  <c r="B6" i="4"/>
  <c r="D6" i="4" s="1"/>
  <c r="A6" i="4"/>
  <c r="I5" i="4"/>
  <c r="H5" i="4"/>
  <c r="C5" i="4"/>
  <c r="B5" i="4"/>
  <c r="D5" i="4" s="1"/>
  <c r="A5" i="4"/>
  <c r="I4" i="4"/>
  <c r="H4" i="4"/>
  <c r="C4" i="4"/>
  <c r="B4" i="4"/>
  <c r="D4" i="4" s="1"/>
  <c r="A4" i="4"/>
  <c r="I3" i="4"/>
  <c r="H3" i="4"/>
  <c r="C3" i="4"/>
  <c r="B3" i="4"/>
  <c r="D3" i="4" s="1"/>
  <c r="A3" i="4"/>
  <c r="I2" i="4"/>
  <c r="H2" i="4"/>
  <c r="C2" i="4"/>
  <c r="B2" i="4"/>
  <c r="C18" i="5" s="1"/>
  <c r="A2" i="4"/>
  <c r="D5" i="5" l="1"/>
  <c r="D4" i="5"/>
  <c r="E4" i="4"/>
  <c r="F4" i="4" s="1"/>
  <c r="G4" i="4" s="1"/>
  <c r="E12" i="4"/>
  <c r="J2" i="4"/>
  <c r="D6" i="5" s="1"/>
  <c r="J4" i="4"/>
  <c r="J6" i="4"/>
  <c r="J8" i="4"/>
  <c r="J10" i="4"/>
  <c r="J12" i="4"/>
  <c r="E8" i="4"/>
  <c r="F8" i="4" s="1"/>
  <c r="G8" i="4" s="1"/>
  <c r="K8" i="4" s="1"/>
  <c r="L8" i="4" s="1"/>
  <c r="E9" i="4"/>
  <c r="F9" i="4" s="1"/>
  <c r="G9" i="4" s="1"/>
  <c r="K9" i="4" s="1"/>
  <c r="L9" i="4" s="1"/>
  <c r="E10" i="4"/>
  <c r="F10" i="4" s="1"/>
  <c r="G10" i="4" s="1"/>
  <c r="K10" i="4" s="1"/>
  <c r="L10" i="4" s="1"/>
  <c r="E3" i="4"/>
  <c r="F3" i="4" s="1"/>
  <c r="G3" i="4" s="1"/>
  <c r="E5" i="4"/>
  <c r="E7" i="4"/>
  <c r="F7" i="4" s="1"/>
  <c r="G7" i="4" s="1"/>
  <c r="K7" i="4" s="1"/>
  <c r="L7" i="4" s="1"/>
  <c r="E11" i="4"/>
  <c r="F11" i="4" s="1"/>
  <c r="G11" i="4" s="1"/>
  <c r="K11" i="4" s="1"/>
  <c r="L11" i="4" s="1"/>
  <c r="J3" i="4"/>
  <c r="J5" i="4"/>
  <c r="J7" i="4"/>
  <c r="J9" i="4"/>
  <c r="J11" i="4"/>
  <c r="E6" i="4"/>
  <c r="D2" i="4"/>
  <c r="E2" i="4" s="1"/>
  <c r="F6" i="4"/>
  <c r="G6" i="4" s="1"/>
  <c r="F12" i="4"/>
  <c r="G12" i="4" s="1"/>
  <c r="K12" i="4" s="1"/>
  <c r="L12" i="4" s="1"/>
  <c r="F5" i="4"/>
  <c r="G5" i="4" s="1"/>
  <c r="E13" i="4"/>
  <c r="D18" i="5"/>
  <c r="C19" i="5"/>
  <c r="D19" i="5"/>
  <c r="C16" i="5"/>
  <c r="C17" i="5"/>
  <c r="C20" i="5"/>
  <c r="D17" i="5"/>
  <c r="D20" i="5"/>
  <c r="D16" i="5" l="1"/>
  <c r="E19" i="5"/>
  <c r="K5" i="4"/>
  <c r="L5" i="4" s="1"/>
  <c r="F19" i="5" s="1"/>
  <c r="K3" i="4"/>
  <c r="L3" i="4" s="1"/>
  <c r="E17" i="5"/>
  <c r="K4" i="4"/>
  <c r="L4" i="4" s="1"/>
  <c r="F17" i="5" s="1"/>
  <c r="E20" i="5"/>
  <c r="K6" i="4"/>
  <c r="L6" i="4" s="1"/>
  <c r="F20" i="5" s="1"/>
  <c r="F2" i="4"/>
  <c r="G2" i="4" s="1"/>
  <c r="F13" i="4"/>
  <c r="G13" i="4" s="1"/>
  <c r="K13" i="4" l="1"/>
  <c r="L13" i="4" s="1"/>
  <c r="E18" i="5"/>
  <c r="D7" i="5"/>
  <c r="K2" i="4"/>
  <c r="E16" i="5"/>
  <c r="F18" i="5"/>
  <c r="L2" i="4" l="1"/>
  <c r="D8" i="5"/>
  <c r="D11" i="5" l="1"/>
  <c r="D10" i="5"/>
  <c r="D9" i="5"/>
  <c r="F16" i="5"/>
</calcChain>
</file>

<file path=xl/sharedStrings.xml><?xml version="1.0" encoding="utf-8"?>
<sst xmlns="http://schemas.openxmlformats.org/spreadsheetml/2006/main" count="98" uniqueCount="76">
  <si>
    <t>Payment Gateway TDR Settlement Audit Template</t>
  </si>
  <si>
    <t>What this does</t>
  </si>
  <si>
    <t>Checks every payment gateway settlement against your contracted TDR (Transaction Discount Rate) card - by payment method - and flags where the gateway deducted more than it should have.</t>
  </si>
  <si>
    <t>How to use it</t>
  </si>
  <si>
    <t>1. Go to the 'TDR Rate Card' tab and replace the sample rates with your own gateway contract rates (cells shaded yellow).</t>
  </si>
  <si>
    <t>2. Go to the 'Settlement Data' tab and paste your own settlement export, replacing the sample rows (keep the same columns).</t>
  </si>
  <si>
    <t>3. Open the 'Audit' tab - every transaction recalculates automatically and shows a Verdict: MATCH, OVERCHARGED, or UNDERBILLED.</t>
  </si>
  <si>
    <t>4. Check the 'Summary Dashboard' tab for total overcharge amount and a payment-method breakdown - this is your refund claim list.</t>
  </si>
  <si>
    <t>Notes</t>
  </si>
  <si>
    <t>- All figures are in INR (Rs). Blue cells = inputs you edit. Black cells = formulas, don't overtype them.</t>
  </si>
  <si>
    <t>- GST is applied on the TDR amount, not on the transaction amount - this template follows that convention.</t>
  </si>
  <si>
    <t>- This is a generic template with illustrative sample data - it is not tied to any specific payment gateway or brand.</t>
  </si>
  <si>
    <t>TDR Rate Card - SAMPLE VALUES, replace with your own payment gateway contract</t>
  </si>
  <si>
    <t>Payment Method</t>
  </si>
  <si>
    <t>TDR Rate (% of transaction amount)</t>
  </si>
  <si>
    <t>GST on TDR (%)</t>
  </si>
  <si>
    <t>UPI</t>
  </si>
  <si>
    <t>Debit Card</t>
  </si>
  <si>
    <t>Credit Card</t>
  </si>
  <si>
    <t>Netbanking</t>
  </si>
  <si>
    <t>Wallet</t>
  </si>
  <si>
    <t>Blue/yellow cells are sample inputs - overwrite with your own contracted TDR rates. Add more payment method rows if needed.</t>
  </si>
  <si>
    <t>Transaction ID</t>
  </si>
  <si>
    <t>Order ID</t>
  </si>
  <si>
    <t>Transaction Amount (Rs)</t>
  </si>
  <si>
    <t>TDR Deducted by Gateway (Rs)</t>
  </si>
  <si>
    <t>GST on TDR Deducted (Rs)</t>
  </si>
  <si>
    <t>Net Settled Amount (Rs)</t>
  </si>
  <si>
    <t>TXN90001</t>
  </si>
  <si>
    <t>ORD6001</t>
  </si>
  <si>
    <t>TXN90002</t>
  </si>
  <si>
    <t>ORD6002</t>
  </si>
  <si>
    <t>TXN90003</t>
  </si>
  <si>
    <t>ORD6003</t>
  </si>
  <si>
    <t>TXN90004</t>
  </si>
  <si>
    <t>ORD6004</t>
  </si>
  <si>
    <t>TXN90005</t>
  </si>
  <si>
    <t>ORD6005</t>
  </si>
  <si>
    <t>TXN90006</t>
  </si>
  <si>
    <t>ORD6006</t>
  </si>
  <si>
    <t>TXN90007</t>
  </si>
  <si>
    <t>ORD6007</t>
  </si>
  <si>
    <t>TXN90008</t>
  </si>
  <si>
    <t>ORD6008</t>
  </si>
  <si>
    <t>TXN90009</t>
  </si>
  <si>
    <t>ORD6009</t>
  </si>
  <si>
    <t>TXN90010</t>
  </si>
  <si>
    <t>ORD6010</t>
  </si>
  <si>
    <t>TXN90011</t>
  </si>
  <si>
    <t>ORD6011</t>
  </si>
  <si>
    <t>TXN90012</t>
  </si>
  <si>
    <t>ORD6012</t>
  </si>
  <si>
    <t>Replace these sample rows with your own settlement export. Keep the same column order.</t>
  </si>
  <si>
    <t>Expected TDR Rate (%)</t>
  </si>
  <si>
    <t>Expected TDR Amount (Rs)</t>
  </si>
  <si>
    <t>Expected GST on TDR (Rs)</t>
  </si>
  <si>
    <t>Expected Total Deduction (Rs)</t>
  </si>
  <si>
    <t>Actual TDR Deducted (Rs)</t>
  </si>
  <si>
    <t>Actual GST Deducted (Rs)</t>
  </si>
  <si>
    <t>Actual Total Deduction (Rs)</t>
  </si>
  <si>
    <t>Variance (Rs)</t>
  </si>
  <si>
    <t>Verdict</t>
  </si>
  <si>
    <t>Settlement Audit Summary</t>
  </si>
  <si>
    <t>Total Transactions Audited</t>
  </si>
  <si>
    <t>Total Transaction Value (Rs)</t>
  </si>
  <si>
    <t>Total Actual Deduction (Rs)</t>
  </si>
  <si>
    <t>Total Expected Deduction (Rs)</t>
  </si>
  <si>
    <t>Net Variance (Rs)</t>
  </si>
  <si>
    <t>Transactions Overcharged</t>
  </si>
  <si>
    <t>Total Overcharge - Refund Claimable (Rs)</t>
  </si>
  <si>
    <t>Transactions Underbilled (gateway's loss, FYI)</t>
  </si>
  <si>
    <t>Payment-Method Breakdown</t>
  </si>
  <si>
    <t>Transactions</t>
  </si>
  <si>
    <t>Total Deducted (Rs)</t>
  </si>
  <si>
    <t>Total Expected (Rs)</t>
  </si>
  <si>
    <t>Overcharge Amount (Rs)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</si>
</sst>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s&quot;\ #,##0.00"/>
  </numFmts>
  <fonts count="10" x14ac:knownFonts="1">
    <font>
      <sz val="11"/>
      <color theme="1"/>
      <name val="Calibri"/>
      <family val="2"/>
      <scheme val="minor"/>
    </font>
    <font>
      <b/>
      <sz val="16"/>
      <color rgb="FF1F4E5F"/>
      <name val="Arial"/>
    </font>
    <font>
      <b/>
      <sz val="11"/>
      <name val="Arial"/>
    </font>
    <font>
      <sz val="11"/>
      <name val="Arial"/>
    </font>
    <font>
      <b/>
      <sz val="12"/>
      <color rgb="FF1F4E5F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0000FF"/>
      <name val="Arial"/>
    </font>
    <font>
      <i/>
      <sz val="9"/>
      <color rgb="FF666666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1F4E5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10" fontId="7" fillId="3" borderId="1" xfId="0" applyNumberFormat="1" applyFont="1" applyFill="1" applyBorder="1"/>
    <xf numFmtId="0" fontId="8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0" fontId="9" fillId="0" borderId="1" xfId="0" applyNumberFormat="1" applyFont="1" applyBorder="1"/>
    <xf numFmtId="164" fontId="6" fillId="0" borderId="1" xfId="0" applyNumberFormat="1" applyFont="1" applyBorder="1"/>
    <xf numFmtId="0" fontId="6" fillId="0" borderId="0" xfId="0" applyFont="1"/>
    <xf numFmtId="164" fontId="6" fillId="0" borderId="0" xfId="0" applyNumberFormat="1" applyFont="1"/>
  </cellXfs>
  <cellStyles count="1">
    <cellStyle name="Normal" xfId="0" builtinId="0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6"/>
  <sheetViews>
    <sheetView showGridLines="0" workbookViewId="0"/>
  </sheetViews>
  <sheetFormatPr defaultRowHeight="14.4" x14ac:dyDescent="0.3"/>
  <cols>
    <col min="1" max="1" width="3" customWidth="1"/>
    <col min="2" max="2" width="100" customWidth="1"/>
  </cols>
  <sheetData>
    <row r="2" spans="2:2" ht="21" x14ac:dyDescent="0.4">
      <c r="B2" s="1" t="s">
        <v>0</v>
      </c>
    </row>
    <row r="4" spans="2:2" x14ac:dyDescent="0.3">
      <c r="B4" s="2" t="s">
        <v>1</v>
      </c>
    </row>
    <row r="5" spans="2:2" ht="27.6" x14ac:dyDescent="0.3">
      <c r="B5" s="3" t="s">
        <v>2</v>
      </c>
    </row>
    <row r="6" spans="2:2" x14ac:dyDescent="0.3">
      <c r="B6" s="3"/>
    </row>
    <row r="7" spans="2:2" x14ac:dyDescent="0.3">
      <c r="B7" s="3" t="s">
        <v>3</v>
      </c>
    </row>
    <row r="8" spans="2:2" ht="27.6" x14ac:dyDescent="0.3">
      <c r="B8" s="3" t="s">
        <v>4</v>
      </c>
    </row>
    <row r="9" spans="2:2" ht="27.6" x14ac:dyDescent="0.3">
      <c r="B9" s="3" t="s">
        <v>5</v>
      </c>
    </row>
    <row r="10" spans="2:2" ht="27.6" x14ac:dyDescent="0.3">
      <c r="B10" s="3" t="s">
        <v>6</v>
      </c>
    </row>
    <row r="11" spans="2:2" ht="27.6" x14ac:dyDescent="0.3">
      <c r="B11" s="3" t="s">
        <v>7</v>
      </c>
    </row>
    <row r="12" spans="2:2" x14ac:dyDescent="0.3">
      <c r="B12" s="3"/>
    </row>
    <row r="13" spans="2:2" x14ac:dyDescent="0.3">
      <c r="B13" s="3" t="s">
        <v>8</v>
      </c>
    </row>
    <row r="14" spans="2:2" x14ac:dyDescent="0.3">
      <c r="B14" s="3" t="s">
        <v>9</v>
      </c>
    </row>
    <row r="15" spans="2:2" x14ac:dyDescent="0.3">
      <c r="B15" s="3" t="s">
        <v>10</v>
      </c>
    </row>
    <row r="16" spans="2:2" ht="27.6" x14ac:dyDescent="0.3">
      <c r="B16" s="3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workbookViewId="0">
      <selection sqref="A1:G13"/>
    </sheetView>
  </sheetViews>
  <sheetFormatPr defaultRowHeight="14.4" x14ac:dyDescent="0.3"/>
  <cols>
    <col min="1" max="1" width="20" customWidth="1"/>
    <col min="2" max="2" width="30" customWidth="1"/>
    <col min="3" max="3" width="16" customWidth="1"/>
  </cols>
  <sheetData>
    <row r="1" spans="1:3" ht="15.6" x14ac:dyDescent="0.3">
      <c r="A1" s="4" t="s">
        <v>12</v>
      </c>
    </row>
    <row r="3" spans="1:3" ht="27.6" x14ac:dyDescent="0.3">
      <c r="A3" s="5" t="s">
        <v>13</v>
      </c>
      <c r="B3" s="5" t="s">
        <v>14</v>
      </c>
      <c r="C3" s="5" t="s">
        <v>15</v>
      </c>
    </row>
    <row r="4" spans="1:3" x14ac:dyDescent="0.3">
      <c r="A4" s="6" t="s">
        <v>16</v>
      </c>
      <c r="B4" s="7">
        <v>3.0000000000000001E-3</v>
      </c>
      <c r="C4" s="7">
        <v>0.18</v>
      </c>
    </row>
    <row r="5" spans="1:3" x14ac:dyDescent="0.3">
      <c r="A5" s="6" t="s">
        <v>17</v>
      </c>
      <c r="B5" s="7">
        <v>4.0000000000000001E-3</v>
      </c>
      <c r="C5" s="7">
        <v>0.18</v>
      </c>
    </row>
    <row r="6" spans="1:3" x14ac:dyDescent="0.3">
      <c r="A6" s="6" t="s">
        <v>18</v>
      </c>
      <c r="B6" s="7">
        <v>1.7999999999999999E-2</v>
      </c>
      <c r="C6" s="7">
        <v>0.18</v>
      </c>
    </row>
    <row r="7" spans="1:3" x14ac:dyDescent="0.3">
      <c r="A7" s="6" t="s">
        <v>19</v>
      </c>
      <c r="B7" s="7">
        <v>0.01</v>
      </c>
      <c r="C7" s="7">
        <v>0.18</v>
      </c>
    </row>
    <row r="8" spans="1:3" x14ac:dyDescent="0.3">
      <c r="A8" s="6" t="s">
        <v>20</v>
      </c>
      <c r="B8" s="7">
        <v>1.4999999999999999E-2</v>
      </c>
      <c r="C8" s="7">
        <v>0.18</v>
      </c>
    </row>
    <row r="11" spans="1:3" x14ac:dyDescent="0.3">
      <c r="A11" s="8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2" customWidth="1"/>
    <col min="3" max="3" width="16" customWidth="1"/>
    <col min="4" max="4" width="20" customWidth="1"/>
    <col min="5" max="5" width="26" customWidth="1"/>
    <col min="6" max="7" width="20" customWidth="1"/>
  </cols>
  <sheetData>
    <row r="1" spans="1:7" ht="27.6" x14ac:dyDescent="0.3">
      <c r="A1" s="5" t="s">
        <v>22</v>
      </c>
      <c r="B1" s="5" t="s">
        <v>23</v>
      </c>
      <c r="C1" s="5" t="s">
        <v>13</v>
      </c>
      <c r="D1" s="5" t="s">
        <v>24</v>
      </c>
      <c r="E1" s="5" t="s">
        <v>25</v>
      </c>
      <c r="F1" s="5" t="s">
        <v>26</v>
      </c>
      <c r="G1" s="5" t="s">
        <v>27</v>
      </c>
    </row>
    <row r="2" spans="1:7" x14ac:dyDescent="0.3">
      <c r="A2" s="9" t="s">
        <v>28</v>
      </c>
      <c r="B2" s="9" t="s">
        <v>29</v>
      </c>
      <c r="C2" s="9" t="s">
        <v>16</v>
      </c>
      <c r="D2" s="10">
        <v>1299</v>
      </c>
      <c r="E2" s="10">
        <v>10.68</v>
      </c>
      <c r="F2" s="10">
        <v>1.92</v>
      </c>
      <c r="G2" s="10">
        <v>1286.4000000000001</v>
      </c>
    </row>
    <row r="3" spans="1:7" x14ac:dyDescent="0.3">
      <c r="A3" s="9" t="s">
        <v>30</v>
      </c>
      <c r="B3" s="9" t="s">
        <v>31</v>
      </c>
      <c r="C3" s="9" t="s">
        <v>18</v>
      </c>
      <c r="D3" s="10">
        <v>2499</v>
      </c>
      <c r="E3" s="10">
        <v>83.12</v>
      </c>
      <c r="F3" s="10">
        <v>14.96</v>
      </c>
      <c r="G3" s="10">
        <v>2400.92</v>
      </c>
    </row>
    <row r="4" spans="1:7" x14ac:dyDescent="0.3">
      <c r="A4" s="9" t="s">
        <v>32</v>
      </c>
      <c r="B4" s="9" t="s">
        <v>33</v>
      </c>
      <c r="C4" s="9" t="s">
        <v>17</v>
      </c>
      <c r="D4" s="10">
        <v>899</v>
      </c>
      <c r="E4" s="10">
        <v>3.6</v>
      </c>
      <c r="F4" s="10">
        <v>0.64</v>
      </c>
      <c r="G4" s="10">
        <v>894.76</v>
      </c>
    </row>
    <row r="5" spans="1:7" x14ac:dyDescent="0.3">
      <c r="A5" s="9" t="s">
        <v>34</v>
      </c>
      <c r="B5" s="9" t="s">
        <v>35</v>
      </c>
      <c r="C5" s="9" t="s">
        <v>19</v>
      </c>
      <c r="D5" s="10">
        <v>1799</v>
      </c>
      <c r="E5" s="10">
        <v>34.94</v>
      </c>
      <c r="F5" s="10">
        <v>6.29</v>
      </c>
      <c r="G5" s="10">
        <v>1757.77</v>
      </c>
    </row>
    <row r="6" spans="1:7" x14ac:dyDescent="0.3">
      <c r="A6" s="9" t="s">
        <v>36</v>
      </c>
      <c r="B6" s="9" t="s">
        <v>37</v>
      </c>
      <c r="C6" s="9" t="s">
        <v>20</v>
      </c>
      <c r="D6" s="10">
        <v>599</v>
      </c>
      <c r="E6" s="10">
        <v>19.149999999999999</v>
      </c>
      <c r="F6" s="10">
        <v>3.45</v>
      </c>
      <c r="G6" s="10">
        <v>576.4</v>
      </c>
    </row>
    <row r="7" spans="1:7" x14ac:dyDescent="0.3">
      <c r="A7" s="9" t="s">
        <v>38</v>
      </c>
      <c r="B7" s="9" t="s">
        <v>39</v>
      </c>
      <c r="C7" s="9" t="s">
        <v>16</v>
      </c>
      <c r="D7" s="10">
        <v>3499</v>
      </c>
      <c r="E7" s="10">
        <v>10.5</v>
      </c>
      <c r="F7" s="10">
        <v>1.89</v>
      </c>
      <c r="G7" s="10">
        <v>3486.61</v>
      </c>
    </row>
    <row r="8" spans="1:7" x14ac:dyDescent="0.3">
      <c r="A8" s="9" t="s">
        <v>40</v>
      </c>
      <c r="B8" s="9" t="s">
        <v>41</v>
      </c>
      <c r="C8" s="9" t="s">
        <v>18</v>
      </c>
      <c r="D8" s="10">
        <v>4299</v>
      </c>
      <c r="E8" s="10">
        <v>128.22999999999999</v>
      </c>
      <c r="F8" s="10">
        <v>23.08</v>
      </c>
      <c r="G8" s="10">
        <v>4147.6899999999996</v>
      </c>
    </row>
    <row r="9" spans="1:7" x14ac:dyDescent="0.3">
      <c r="A9" s="9" t="s">
        <v>42</v>
      </c>
      <c r="B9" s="9" t="s">
        <v>43</v>
      </c>
      <c r="C9" s="9" t="s">
        <v>17</v>
      </c>
      <c r="D9" s="10">
        <v>1099</v>
      </c>
      <c r="E9" s="10">
        <v>17.11</v>
      </c>
      <c r="F9" s="10">
        <v>3.08</v>
      </c>
      <c r="G9" s="10">
        <v>1078.81</v>
      </c>
    </row>
    <row r="10" spans="1:7" x14ac:dyDescent="0.3">
      <c r="A10" s="9" t="s">
        <v>44</v>
      </c>
      <c r="B10" s="9" t="s">
        <v>45</v>
      </c>
      <c r="C10" s="9" t="s">
        <v>19</v>
      </c>
      <c r="D10" s="10">
        <v>2199</v>
      </c>
      <c r="E10" s="10">
        <v>43.18</v>
      </c>
      <c r="F10" s="10">
        <v>7.77</v>
      </c>
      <c r="G10" s="10">
        <v>2148.0500000000002</v>
      </c>
    </row>
    <row r="11" spans="1:7" x14ac:dyDescent="0.3">
      <c r="A11" s="9" t="s">
        <v>46</v>
      </c>
      <c r="B11" s="9" t="s">
        <v>47</v>
      </c>
      <c r="C11" s="9" t="s">
        <v>20</v>
      </c>
      <c r="D11" s="10">
        <v>1499</v>
      </c>
      <c r="E11" s="10">
        <v>37.74</v>
      </c>
      <c r="F11" s="10">
        <v>6.79</v>
      </c>
      <c r="G11" s="10">
        <v>1454.47</v>
      </c>
    </row>
    <row r="12" spans="1:7" x14ac:dyDescent="0.3">
      <c r="A12" s="9" t="s">
        <v>48</v>
      </c>
      <c r="B12" s="9" t="s">
        <v>49</v>
      </c>
      <c r="C12" s="9" t="s">
        <v>16</v>
      </c>
      <c r="D12" s="10">
        <v>999</v>
      </c>
      <c r="E12" s="10">
        <v>2.15</v>
      </c>
      <c r="F12" s="10">
        <v>0.39</v>
      </c>
      <c r="G12" s="10">
        <v>996.46</v>
      </c>
    </row>
    <row r="13" spans="1:7" x14ac:dyDescent="0.3">
      <c r="A13" s="9" t="s">
        <v>50</v>
      </c>
      <c r="B13" s="9" t="s">
        <v>51</v>
      </c>
      <c r="C13" s="9" t="s">
        <v>18</v>
      </c>
      <c r="D13" s="10">
        <v>5499</v>
      </c>
      <c r="E13" s="10">
        <v>175.25</v>
      </c>
      <c r="F13" s="10">
        <v>31.55</v>
      </c>
      <c r="G13" s="10">
        <v>5292.2</v>
      </c>
    </row>
    <row r="16" spans="1:7" x14ac:dyDescent="0.3">
      <c r="A16" s="8" t="s">
        <v>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showGridLines="0" workbookViewId="0">
      <pane ySplit="1" topLeftCell="A2" activePane="bottomLeft" state="frozen"/>
      <selection pane="bottomLeft" sqref="A1:L13"/>
    </sheetView>
  </sheetViews>
  <sheetFormatPr defaultRowHeight="14.4" x14ac:dyDescent="0.3"/>
  <cols>
    <col min="1" max="2" width="16" customWidth="1"/>
    <col min="3" max="3" width="18" customWidth="1"/>
    <col min="4" max="4" width="16" customWidth="1"/>
    <col min="5" max="6" width="18" customWidth="1"/>
    <col min="7" max="7" width="20" customWidth="1"/>
    <col min="8" max="10" width="18" customWidth="1"/>
    <col min="11" max="11" width="14" customWidth="1"/>
    <col min="12" max="12" width="16" customWidth="1"/>
  </cols>
  <sheetData>
    <row r="1" spans="1:12" ht="27.6" x14ac:dyDescent="0.3">
      <c r="A1" s="5" t="s">
        <v>22</v>
      </c>
      <c r="B1" s="5" t="s">
        <v>13</v>
      </c>
      <c r="C1" s="5" t="s">
        <v>24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61</v>
      </c>
    </row>
    <row r="2" spans="1:12" x14ac:dyDescent="0.3">
      <c r="A2" s="11" t="str">
        <f>'Settlement Data'!A2</f>
        <v>TXN90001</v>
      </c>
      <c r="B2" s="11" t="str">
        <f>'Settlement Data'!C2</f>
        <v>UPI</v>
      </c>
      <c r="C2" s="12">
        <f>'Settlement Data'!D2</f>
        <v>1299</v>
      </c>
      <c r="D2" s="13">
        <f>INDEX('TDR Rate Card'!$B$4:$B$8,MATCH(B2,'TDR Rate Card'!$A$4:$A$8,0))</f>
        <v>3.0000000000000001E-3</v>
      </c>
      <c r="E2" s="14">
        <f t="shared" ref="E2:E13" si="0">C2*D2</f>
        <v>3.8970000000000002</v>
      </c>
      <c r="F2" s="12">
        <f>E2*INDEX('TDR Rate Card'!$C$4:$C$8,MATCH(B2,'TDR Rate Card'!$A$4:$A$8,0))</f>
        <v>0.70145999999999997</v>
      </c>
      <c r="G2" s="14">
        <f t="shared" ref="G2:G13" si="1">E2+F2</f>
        <v>4.5984600000000002</v>
      </c>
      <c r="H2" s="12">
        <f>'Settlement Data'!E2</f>
        <v>10.68</v>
      </c>
      <c r="I2" s="12">
        <f>'Settlement Data'!F2</f>
        <v>1.92</v>
      </c>
      <c r="J2" s="14">
        <f t="shared" ref="J2:J13" si="2">H2+I2</f>
        <v>12.6</v>
      </c>
      <c r="K2" s="14">
        <f t="shared" ref="K2:K13" si="3">J2-G2</f>
        <v>8.0015399999999985</v>
      </c>
      <c r="L2" s="6" t="str">
        <f t="shared" ref="L2:L13" si="4">IF(K2&gt;0.5,"OVERCHARGED",IF(K2&lt;-0.5,"UNDERBILLED","MATCH"))</f>
        <v>OVERCHARGED</v>
      </c>
    </row>
    <row r="3" spans="1:12" x14ac:dyDescent="0.3">
      <c r="A3" s="11" t="str">
        <f>'Settlement Data'!A3</f>
        <v>TXN90002</v>
      </c>
      <c r="B3" s="11" t="str">
        <f>'Settlement Data'!C3</f>
        <v>Credit Card</v>
      </c>
      <c r="C3" s="12">
        <f>'Settlement Data'!D3</f>
        <v>2499</v>
      </c>
      <c r="D3" s="13">
        <f>INDEX('TDR Rate Card'!$B$4:$B$8,MATCH(B3,'TDR Rate Card'!$A$4:$A$8,0))</f>
        <v>1.7999999999999999E-2</v>
      </c>
      <c r="E3" s="14">
        <f t="shared" si="0"/>
        <v>44.981999999999999</v>
      </c>
      <c r="F3" s="12">
        <f>E3*INDEX('TDR Rate Card'!$C$4:$C$8,MATCH(B3,'TDR Rate Card'!$A$4:$A$8,0))</f>
        <v>8.0967599999999997</v>
      </c>
      <c r="G3" s="14">
        <f t="shared" si="1"/>
        <v>53.078760000000003</v>
      </c>
      <c r="H3" s="12">
        <f>'Settlement Data'!E3</f>
        <v>83.12</v>
      </c>
      <c r="I3" s="12">
        <f>'Settlement Data'!F3</f>
        <v>14.96</v>
      </c>
      <c r="J3" s="14">
        <f t="shared" si="2"/>
        <v>98.080000000000013</v>
      </c>
      <c r="K3" s="14">
        <f t="shared" si="3"/>
        <v>45.00124000000001</v>
      </c>
      <c r="L3" s="6" t="str">
        <f t="shared" si="4"/>
        <v>OVERCHARGED</v>
      </c>
    </row>
    <row r="4" spans="1:12" x14ac:dyDescent="0.3">
      <c r="A4" s="11" t="str">
        <f>'Settlement Data'!A4</f>
        <v>TXN90003</v>
      </c>
      <c r="B4" s="11" t="str">
        <f>'Settlement Data'!C4</f>
        <v>Debit Card</v>
      </c>
      <c r="C4" s="12">
        <f>'Settlement Data'!D4</f>
        <v>899</v>
      </c>
      <c r="D4" s="13">
        <f>INDEX('TDR Rate Card'!$B$4:$B$8,MATCH(B4,'TDR Rate Card'!$A$4:$A$8,0))</f>
        <v>4.0000000000000001E-3</v>
      </c>
      <c r="E4" s="14">
        <f t="shared" si="0"/>
        <v>3.5960000000000001</v>
      </c>
      <c r="F4" s="12">
        <f>E4*INDEX('TDR Rate Card'!$C$4:$C$8,MATCH(B4,'TDR Rate Card'!$A$4:$A$8,0))</f>
        <v>0.64727999999999997</v>
      </c>
      <c r="G4" s="14">
        <f t="shared" si="1"/>
        <v>4.2432800000000004</v>
      </c>
      <c r="H4" s="12">
        <f>'Settlement Data'!E4</f>
        <v>3.6</v>
      </c>
      <c r="I4" s="12">
        <f>'Settlement Data'!F4</f>
        <v>0.64</v>
      </c>
      <c r="J4" s="14">
        <f t="shared" si="2"/>
        <v>4.24</v>
      </c>
      <c r="K4" s="14">
        <f t="shared" si="3"/>
        <v>-3.2800000000001717E-3</v>
      </c>
      <c r="L4" s="6" t="str">
        <f t="shared" si="4"/>
        <v>MATCH</v>
      </c>
    </row>
    <row r="5" spans="1:12" x14ac:dyDescent="0.3">
      <c r="A5" s="11" t="str">
        <f>'Settlement Data'!A5</f>
        <v>TXN90004</v>
      </c>
      <c r="B5" s="11" t="str">
        <f>'Settlement Data'!C5</f>
        <v>Netbanking</v>
      </c>
      <c r="C5" s="12">
        <f>'Settlement Data'!D5</f>
        <v>1799</v>
      </c>
      <c r="D5" s="13">
        <f>INDEX('TDR Rate Card'!$B$4:$B$8,MATCH(B5,'TDR Rate Card'!$A$4:$A$8,0))</f>
        <v>0.01</v>
      </c>
      <c r="E5" s="14">
        <f t="shared" si="0"/>
        <v>17.990000000000002</v>
      </c>
      <c r="F5" s="12">
        <f>E5*INDEX('TDR Rate Card'!$C$4:$C$8,MATCH(B5,'TDR Rate Card'!$A$4:$A$8,0))</f>
        <v>3.2382000000000004</v>
      </c>
      <c r="G5" s="14">
        <f t="shared" si="1"/>
        <v>21.228200000000001</v>
      </c>
      <c r="H5" s="12">
        <f>'Settlement Data'!E5</f>
        <v>34.94</v>
      </c>
      <c r="I5" s="12">
        <f>'Settlement Data'!F5</f>
        <v>6.29</v>
      </c>
      <c r="J5" s="14">
        <f t="shared" si="2"/>
        <v>41.23</v>
      </c>
      <c r="K5" s="14">
        <f t="shared" si="3"/>
        <v>20.001799999999996</v>
      </c>
      <c r="L5" s="6" t="str">
        <f t="shared" si="4"/>
        <v>OVERCHARGED</v>
      </c>
    </row>
    <row r="6" spans="1:12" x14ac:dyDescent="0.3">
      <c r="A6" s="11" t="str">
        <f>'Settlement Data'!A6</f>
        <v>TXN90005</v>
      </c>
      <c r="B6" s="11" t="str">
        <f>'Settlement Data'!C6</f>
        <v>Wallet</v>
      </c>
      <c r="C6" s="12">
        <f>'Settlement Data'!D6</f>
        <v>599</v>
      </c>
      <c r="D6" s="13">
        <f>INDEX('TDR Rate Card'!$B$4:$B$8,MATCH(B6,'TDR Rate Card'!$A$4:$A$8,0))</f>
        <v>1.4999999999999999E-2</v>
      </c>
      <c r="E6" s="14">
        <f t="shared" si="0"/>
        <v>8.9849999999999994</v>
      </c>
      <c r="F6" s="12">
        <f>E6*INDEX('TDR Rate Card'!$C$4:$C$8,MATCH(B6,'TDR Rate Card'!$A$4:$A$8,0))</f>
        <v>1.6172999999999997</v>
      </c>
      <c r="G6" s="14">
        <f t="shared" si="1"/>
        <v>10.6023</v>
      </c>
      <c r="H6" s="12">
        <f>'Settlement Data'!E6</f>
        <v>19.149999999999999</v>
      </c>
      <c r="I6" s="12">
        <f>'Settlement Data'!F6</f>
        <v>3.45</v>
      </c>
      <c r="J6" s="14">
        <f t="shared" si="2"/>
        <v>22.599999999999998</v>
      </c>
      <c r="K6" s="14">
        <f t="shared" si="3"/>
        <v>11.997699999999998</v>
      </c>
      <c r="L6" s="6" t="str">
        <f t="shared" si="4"/>
        <v>OVERCHARGED</v>
      </c>
    </row>
    <row r="7" spans="1:12" x14ac:dyDescent="0.3">
      <c r="A7" s="11" t="str">
        <f>'Settlement Data'!A7</f>
        <v>TXN90006</v>
      </c>
      <c r="B7" s="11" t="str">
        <f>'Settlement Data'!C7</f>
        <v>UPI</v>
      </c>
      <c r="C7" s="12">
        <f>'Settlement Data'!D7</f>
        <v>3499</v>
      </c>
      <c r="D7" s="13">
        <f>INDEX('TDR Rate Card'!$B$4:$B$8,MATCH(B7,'TDR Rate Card'!$A$4:$A$8,0))</f>
        <v>3.0000000000000001E-3</v>
      </c>
      <c r="E7" s="14">
        <f t="shared" si="0"/>
        <v>10.497</v>
      </c>
      <c r="F7" s="12">
        <f>E7*INDEX('TDR Rate Card'!$C$4:$C$8,MATCH(B7,'TDR Rate Card'!$A$4:$A$8,0))</f>
        <v>1.8894599999999999</v>
      </c>
      <c r="G7" s="14">
        <f t="shared" si="1"/>
        <v>12.38646</v>
      </c>
      <c r="H7" s="12">
        <f>'Settlement Data'!E7</f>
        <v>10.5</v>
      </c>
      <c r="I7" s="12">
        <f>'Settlement Data'!F7</f>
        <v>1.89</v>
      </c>
      <c r="J7" s="14">
        <f t="shared" si="2"/>
        <v>12.39</v>
      </c>
      <c r="K7" s="14">
        <f t="shared" si="3"/>
        <v>3.5400000000009868E-3</v>
      </c>
      <c r="L7" s="6" t="str">
        <f t="shared" si="4"/>
        <v>MATCH</v>
      </c>
    </row>
    <row r="8" spans="1:12" x14ac:dyDescent="0.3">
      <c r="A8" s="11" t="str">
        <f>'Settlement Data'!A8</f>
        <v>TXN90007</v>
      </c>
      <c r="B8" s="11" t="str">
        <f>'Settlement Data'!C8</f>
        <v>Credit Card</v>
      </c>
      <c r="C8" s="12">
        <f>'Settlement Data'!D8</f>
        <v>4299</v>
      </c>
      <c r="D8" s="13">
        <f>INDEX('TDR Rate Card'!$B$4:$B$8,MATCH(B8,'TDR Rate Card'!$A$4:$A$8,0))</f>
        <v>1.7999999999999999E-2</v>
      </c>
      <c r="E8" s="14">
        <f t="shared" si="0"/>
        <v>77.381999999999991</v>
      </c>
      <c r="F8" s="12">
        <f>E8*INDEX('TDR Rate Card'!$C$4:$C$8,MATCH(B8,'TDR Rate Card'!$A$4:$A$8,0))</f>
        <v>13.928759999999999</v>
      </c>
      <c r="G8" s="14">
        <f t="shared" si="1"/>
        <v>91.310759999999988</v>
      </c>
      <c r="H8" s="12">
        <f>'Settlement Data'!E8</f>
        <v>128.22999999999999</v>
      </c>
      <c r="I8" s="12">
        <f>'Settlement Data'!F8</f>
        <v>23.08</v>
      </c>
      <c r="J8" s="14">
        <f t="shared" si="2"/>
        <v>151.31</v>
      </c>
      <c r="K8" s="14">
        <f t="shared" si="3"/>
        <v>59.999240000000015</v>
      </c>
      <c r="L8" s="6" t="str">
        <f t="shared" si="4"/>
        <v>OVERCHARGED</v>
      </c>
    </row>
    <row r="9" spans="1:12" x14ac:dyDescent="0.3">
      <c r="A9" s="11" t="str">
        <f>'Settlement Data'!A9</f>
        <v>TXN90008</v>
      </c>
      <c r="B9" s="11" t="str">
        <f>'Settlement Data'!C9</f>
        <v>Debit Card</v>
      </c>
      <c r="C9" s="12">
        <f>'Settlement Data'!D9</f>
        <v>1099</v>
      </c>
      <c r="D9" s="13">
        <f>INDEX('TDR Rate Card'!$B$4:$B$8,MATCH(B9,'TDR Rate Card'!$A$4:$A$8,0))</f>
        <v>4.0000000000000001E-3</v>
      </c>
      <c r="E9" s="14">
        <f t="shared" si="0"/>
        <v>4.3959999999999999</v>
      </c>
      <c r="F9" s="12">
        <f>E9*INDEX('TDR Rate Card'!$C$4:$C$8,MATCH(B9,'TDR Rate Card'!$A$4:$A$8,0))</f>
        <v>0.79127999999999998</v>
      </c>
      <c r="G9" s="14">
        <f t="shared" si="1"/>
        <v>5.1872799999999994</v>
      </c>
      <c r="H9" s="12">
        <f>'Settlement Data'!E9</f>
        <v>17.11</v>
      </c>
      <c r="I9" s="12">
        <f>'Settlement Data'!F9</f>
        <v>3.08</v>
      </c>
      <c r="J9" s="14">
        <f t="shared" si="2"/>
        <v>20.189999999999998</v>
      </c>
      <c r="K9" s="14">
        <f t="shared" si="3"/>
        <v>15.002719999999998</v>
      </c>
      <c r="L9" s="6" t="str">
        <f t="shared" si="4"/>
        <v>OVERCHARGED</v>
      </c>
    </row>
    <row r="10" spans="1:12" x14ac:dyDescent="0.3">
      <c r="A10" s="11" t="str">
        <f>'Settlement Data'!A10</f>
        <v>TXN90009</v>
      </c>
      <c r="B10" s="11" t="str">
        <f>'Settlement Data'!C10</f>
        <v>Netbanking</v>
      </c>
      <c r="C10" s="12">
        <f>'Settlement Data'!D10</f>
        <v>2199</v>
      </c>
      <c r="D10" s="13">
        <f>INDEX('TDR Rate Card'!$B$4:$B$8,MATCH(B10,'TDR Rate Card'!$A$4:$A$8,0))</f>
        <v>0.01</v>
      </c>
      <c r="E10" s="14">
        <f t="shared" si="0"/>
        <v>21.990000000000002</v>
      </c>
      <c r="F10" s="12">
        <f>E10*INDEX('TDR Rate Card'!$C$4:$C$8,MATCH(B10,'TDR Rate Card'!$A$4:$A$8,0))</f>
        <v>3.9582000000000002</v>
      </c>
      <c r="G10" s="14">
        <f t="shared" si="1"/>
        <v>25.948200000000003</v>
      </c>
      <c r="H10" s="12">
        <f>'Settlement Data'!E10</f>
        <v>43.18</v>
      </c>
      <c r="I10" s="12">
        <f>'Settlement Data'!F10</f>
        <v>7.77</v>
      </c>
      <c r="J10" s="14">
        <f t="shared" si="2"/>
        <v>50.95</v>
      </c>
      <c r="K10" s="14">
        <f t="shared" si="3"/>
        <v>25.001799999999999</v>
      </c>
      <c r="L10" s="6" t="str">
        <f t="shared" si="4"/>
        <v>OVERCHARGED</v>
      </c>
    </row>
    <row r="11" spans="1:12" x14ac:dyDescent="0.3">
      <c r="A11" s="11" t="str">
        <f>'Settlement Data'!A11</f>
        <v>TXN90010</v>
      </c>
      <c r="B11" s="11" t="str">
        <f>'Settlement Data'!C11</f>
        <v>Wallet</v>
      </c>
      <c r="C11" s="12">
        <f>'Settlement Data'!D11</f>
        <v>1499</v>
      </c>
      <c r="D11" s="13">
        <f>INDEX('TDR Rate Card'!$B$4:$B$8,MATCH(B11,'TDR Rate Card'!$A$4:$A$8,0))</f>
        <v>1.4999999999999999E-2</v>
      </c>
      <c r="E11" s="14">
        <f t="shared" si="0"/>
        <v>22.484999999999999</v>
      </c>
      <c r="F11" s="12">
        <f>E11*INDEX('TDR Rate Card'!$C$4:$C$8,MATCH(B11,'TDR Rate Card'!$A$4:$A$8,0))</f>
        <v>4.0472999999999999</v>
      </c>
      <c r="G11" s="14">
        <f t="shared" si="1"/>
        <v>26.532299999999999</v>
      </c>
      <c r="H11" s="12">
        <f>'Settlement Data'!E11</f>
        <v>37.74</v>
      </c>
      <c r="I11" s="12">
        <f>'Settlement Data'!F11</f>
        <v>6.79</v>
      </c>
      <c r="J11" s="14">
        <f t="shared" si="2"/>
        <v>44.53</v>
      </c>
      <c r="K11" s="14">
        <f t="shared" si="3"/>
        <v>17.997700000000002</v>
      </c>
      <c r="L11" s="6" t="str">
        <f t="shared" si="4"/>
        <v>OVERCHARGED</v>
      </c>
    </row>
    <row r="12" spans="1:12" x14ac:dyDescent="0.3">
      <c r="A12" s="11" t="str">
        <f>'Settlement Data'!A12</f>
        <v>TXN90011</v>
      </c>
      <c r="B12" s="11" t="str">
        <f>'Settlement Data'!C12</f>
        <v>UPI</v>
      </c>
      <c r="C12" s="12">
        <f>'Settlement Data'!D12</f>
        <v>999</v>
      </c>
      <c r="D12" s="13">
        <f>INDEX('TDR Rate Card'!$B$4:$B$8,MATCH(B12,'TDR Rate Card'!$A$4:$A$8,0))</f>
        <v>3.0000000000000001E-3</v>
      </c>
      <c r="E12" s="14">
        <f t="shared" si="0"/>
        <v>2.9969999999999999</v>
      </c>
      <c r="F12" s="12">
        <f>E12*INDEX('TDR Rate Card'!$C$4:$C$8,MATCH(B12,'TDR Rate Card'!$A$4:$A$8,0))</f>
        <v>0.53945999999999994</v>
      </c>
      <c r="G12" s="14">
        <f t="shared" si="1"/>
        <v>3.5364599999999999</v>
      </c>
      <c r="H12" s="12">
        <f>'Settlement Data'!E12</f>
        <v>2.15</v>
      </c>
      <c r="I12" s="12">
        <f>'Settlement Data'!F12</f>
        <v>0.39</v>
      </c>
      <c r="J12" s="14">
        <f t="shared" si="2"/>
        <v>2.54</v>
      </c>
      <c r="K12" s="14">
        <f t="shared" si="3"/>
        <v>-0.9964599999999999</v>
      </c>
      <c r="L12" s="6" t="str">
        <f t="shared" si="4"/>
        <v>UNDERBILLED</v>
      </c>
    </row>
    <row r="13" spans="1:12" x14ac:dyDescent="0.3">
      <c r="A13" s="11" t="str">
        <f>'Settlement Data'!A13</f>
        <v>TXN90012</v>
      </c>
      <c r="B13" s="11" t="str">
        <f>'Settlement Data'!C13</f>
        <v>Credit Card</v>
      </c>
      <c r="C13" s="12">
        <f>'Settlement Data'!D13</f>
        <v>5499</v>
      </c>
      <c r="D13" s="13">
        <f>INDEX('TDR Rate Card'!$B$4:$B$8,MATCH(B13,'TDR Rate Card'!$A$4:$A$8,0))</f>
        <v>1.7999999999999999E-2</v>
      </c>
      <c r="E13" s="14">
        <f t="shared" si="0"/>
        <v>98.981999999999999</v>
      </c>
      <c r="F13" s="12">
        <f>E13*INDEX('TDR Rate Card'!$C$4:$C$8,MATCH(B13,'TDR Rate Card'!$A$4:$A$8,0))</f>
        <v>17.816759999999999</v>
      </c>
      <c r="G13" s="14">
        <f t="shared" si="1"/>
        <v>116.79876</v>
      </c>
      <c r="H13" s="12">
        <f>'Settlement Data'!E13</f>
        <v>175.25</v>
      </c>
      <c r="I13" s="12">
        <f>'Settlement Data'!F13</f>
        <v>31.55</v>
      </c>
      <c r="J13" s="14">
        <f t="shared" si="2"/>
        <v>206.8</v>
      </c>
      <c r="K13" s="14">
        <f t="shared" si="3"/>
        <v>90.00124000000001</v>
      </c>
      <c r="L13" s="6" t="str">
        <f t="shared" si="4"/>
        <v>OVERCHARGED</v>
      </c>
    </row>
  </sheetData>
  <conditionalFormatting sqref="L2:L13">
    <cfRule type="cellIs" dxfId="2" priority="1" operator="equal">
      <formula>"OVERCHARGED"</formula>
    </cfRule>
    <cfRule type="cellIs" dxfId="1" priority="2" operator="equal">
      <formula>"UNDERBILLED"</formula>
    </cfRule>
    <cfRule type="cellIs" dxfId="0" priority="3" operator="equal">
      <formula>"MATCH"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0"/>
  <sheetViews>
    <sheetView showGridLines="0" tabSelected="1" topLeftCell="A2" workbookViewId="0">
      <selection activeCell="B2" sqref="B2:F20"/>
    </sheetView>
  </sheetViews>
  <sheetFormatPr defaultRowHeight="14.4" x14ac:dyDescent="0.3"/>
  <cols>
    <col min="1" max="1" width="3" customWidth="1"/>
    <col min="2" max="2" width="40" customWidth="1"/>
    <col min="3" max="3" width="14" customWidth="1"/>
    <col min="4" max="4" width="22" customWidth="1"/>
    <col min="5" max="6" width="20" customWidth="1"/>
  </cols>
  <sheetData>
    <row r="2" spans="2:6" ht="21" x14ac:dyDescent="0.4">
      <c r="B2" s="1" t="s">
        <v>62</v>
      </c>
    </row>
    <row r="4" spans="2:6" x14ac:dyDescent="0.3">
      <c r="B4" s="2" t="s">
        <v>63</v>
      </c>
      <c r="D4" s="15">
        <f>COUNTA(Audit!A2:A13)</f>
        <v>12</v>
      </c>
    </row>
    <row r="5" spans="2:6" x14ac:dyDescent="0.3">
      <c r="B5" s="2" t="s">
        <v>64</v>
      </c>
      <c r="D5" s="16">
        <f>SUM(Audit!C2:C13)</f>
        <v>26188</v>
      </c>
    </row>
    <row r="6" spans="2:6" x14ac:dyDescent="0.3">
      <c r="B6" s="2" t="s">
        <v>65</v>
      </c>
      <c r="D6" s="16">
        <f>SUM(Audit!J2:J13)</f>
        <v>667.46</v>
      </c>
    </row>
    <row r="7" spans="2:6" x14ac:dyDescent="0.3">
      <c r="B7" s="2" t="s">
        <v>66</v>
      </c>
      <c r="D7" s="16">
        <f>SUM(Audit!G2:G13)</f>
        <v>375.45121999999998</v>
      </c>
    </row>
    <row r="8" spans="2:6" x14ac:dyDescent="0.3">
      <c r="B8" s="2" t="s">
        <v>67</v>
      </c>
      <c r="D8" s="16">
        <f>SUM(Audit!K2:K13)</f>
        <v>292.00878000000006</v>
      </c>
    </row>
    <row r="9" spans="2:6" x14ac:dyDescent="0.3">
      <c r="B9" s="2" t="s">
        <v>68</v>
      </c>
      <c r="D9" s="15">
        <f>COUNTIF(Audit!L2:L13,"OVERCHARGED")</f>
        <v>9</v>
      </c>
    </row>
    <row r="10" spans="2:6" x14ac:dyDescent="0.3">
      <c r="B10" s="2" t="s">
        <v>69</v>
      </c>
      <c r="D10" s="16">
        <f>SUMIF(Audit!L2:L13,"OVERCHARGED",Audit!K2:K13)</f>
        <v>293.00498000000005</v>
      </c>
    </row>
    <row r="11" spans="2:6" x14ac:dyDescent="0.3">
      <c r="B11" s="2" t="s">
        <v>70</v>
      </c>
      <c r="D11" s="15">
        <f>COUNTIF(Audit!L2:L13,"UNDERBILLED")</f>
        <v>1</v>
      </c>
    </row>
    <row r="13" spans="2:6" x14ac:dyDescent="0.3">
      <c r="B13" s="2" t="s">
        <v>71</v>
      </c>
    </row>
    <row r="15" spans="2:6" ht="27.6" x14ac:dyDescent="0.3">
      <c r="B15" s="5" t="s">
        <v>13</v>
      </c>
      <c r="C15" s="5" t="s">
        <v>72</v>
      </c>
      <c r="D15" s="5" t="s">
        <v>73</v>
      </c>
      <c r="E15" s="5" t="s">
        <v>74</v>
      </c>
      <c r="F15" s="5" t="s">
        <v>75</v>
      </c>
    </row>
    <row r="16" spans="2:6" x14ac:dyDescent="0.3">
      <c r="B16" s="6" t="s">
        <v>16</v>
      </c>
      <c r="C16" s="6">
        <f>COUNTIF(Audit!$B$2:$B$13,B16)</f>
        <v>3</v>
      </c>
      <c r="D16" s="14">
        <f>SUMIF(Audit!$B$2:$B$13,B16,Audit!$J$2:$J$13)</f>
        <v>27.53</v>
      </c>
      <c r="E16" s="14">
        <f>SUMIF(Audit!$B$2:$B$13,B16,Audit!$G$2:$G$13)</f>
        <v>20.521380000000001</v>
      </c>
      <c r="F16" s="14">
        <f>SUMIFS(Audit!$K$2:$K$13,Audit!$B$2:$B$13,B16,Audit!$L$2:$L$13,"OVERCHARGED")</f>
        <v>8.0015399999999985</v>
      </c>
    </row>
    <row r="17" spans="2:6" x14ac:dyDescent="0.3">
      <c r="B17" s="6" t="s">
        <v>17</v>
      </c>
      <c r="C17" s="6">
        <f>COUNTIF(Audit!$B$2:$B$13,B17)</f>
        <v>2</v>
      </c>
      <c r="D17" s="14">
        <f>SUMIF(Audit!$B$2:$B$13,B17,Audit!$J$2:$J$13)</f>
        <v>24.43</v>
      </c>
      <c r="E17" s="14">
        <f>SUMIF(Audit!$B$2:$B$13,B17,Audit!$G$2:$G$13)</f>
        <v>9.4305599999999998</v>
      </c>
      <c r="F17" s="14">
        <f>SUMIFS(Audit!$K$2:$K$13,Audit!$B$2:$B$13,B17,Audit!$L$2:$L$13,"OVERCHARGED")</f>
        <v>15.002719999999998</v>
      </c>
    </row>
    <row r="18" spans="2:6" x14ac:dyDescent="0.3">
      <c r="B18" s="6" t="s">
        <v>18</v>
      </c>
      <c r="C18" s="6">
        <f>COUNTIF(Audit!$B$2:$B$13,B18)</f>
        <v>3</v>
      </c>
      <c r="D18" s="14">
        <f>SUMIF(Audit!$B$2:$B$13,B18,Audit!$J$2:$J$13)</f>
        <v>456.19000000000005</v>
      </c>
      <c r="E18" s="14">
        <f>SUMIF(Audit!$B$2:$B$13,B18,Audit!$G$2:$G$13)</f>
        <v>261.18828000000002</v>
      </c>
      <c r="F18" s="14">
        <f>SUMIFS(Audit!$K$2:$K$13,Audit!$B$2:$B$13,B18,Audit!$L$2:$L$13,"OVERCHARGED")</f>
        <v>195.00172000000003</v>
      </c>
    </row>
    <row r="19" spans="2:6" x14ac:dyDescent="0.3">
      <c r="B19" s="6" t="s">
        <v>19</v>
      </c>
      <c r="C19" s="6">
        <f>COUNTIF(Audit!$B$2:$B$13,B19)</f>
        <v>2</v>
      </c>
      <c r="D19" s="14">
        <f>SUMIF(Audit!$B$2:$B$13,B19,Audit!$J$2:$J$13)</f>
        <v>92.18</v>
      </c>
      <c r="E19" s="14">
        <f>SUMIF(Audit!$B$2:$B$13,B19,Audit!$G$2:$G$13)</f>
        <v>47.176400000000001</v>
      </c>
      <c r="F19" s="14">
        <f>SUMIFS(Audit!$K$2:$K$13,Audit!$B$2:$B$13,B19,Audit!$L$2:$L$13,"OVERCHARGED")</f>
        <v>45.003599999999992</v>
      </c>
    </row>
    <row r="20" spans="2:6" x14ac:dyDescent="0.3">
      <c r="B20" s="6" t="s">
        <v>20</v>
      </c>
      <c r="C20" s="6">
        <f>COUNTIF(Audit!$B$2:$B$13,B20)</f>
        <v>2</v>
      </c>
      <c r="D20" s="14">
        <f>SUMIF(Audit!$B$2:$B$13,B20,Audit!$J$2:$J$13)</f>
        <v>67.13</v>
      </c>
      <c r="E20" s="14">
        <f>SUMIF(Audit!$B$2:$B$13,B20,Audit!$G$2:$G$13)</f>
        <v>37.134599999999999</v>
      </c>
      <c r="F20" s="14">
        <f>SUMIFS(Audit!$K$2:$K$13,Audit!$B$2:$B$13,B20,Audit!$L$2:$L$13,"OVERCHARGED")</f>
        <v>29.9954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TDR Rate Card</vt:lpstr>
      <vt:lpstr>Settlement Data</vt:lpstr>
      <vt:lpstr>Audit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Dermatouch User</cp:lastModifiedBy>
  <dcterms:created xsi:type="dcterms:W3CDTF">2026-07-06T08:20:56Z</dcterms:created>
  <dcterms:modified xsi:type="dcterms:W3CDTF">2026-07-06T08:23:33Z</dcterms:modified>
</cp:coreProperties>
</file>