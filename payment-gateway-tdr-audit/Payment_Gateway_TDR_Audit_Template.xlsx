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TDR Rate Card" sheetId="2" state="visible" r:id="rId2"/>
    <sheet xmlns:r="http://schemas.openxmlformats.org/officeDocument/2006/relationships" name="Settlement Data" sheetId="3" state="visible" r:id="rId3"/>
    <sheet xmlns:r="http://schemas.openxmlformats.org/officeDocument/2006/relationships" name="Audit" sheetId="4" state="visible" r:id="rId4"/>
    <sheet xmlns:r="http://schemas.openxmlformats.org/officeDocument/2006/relationships" name="Summary Dashboar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s&quot; #,##0.00"/>
  </numFmts>
  <fonts count="10">
    <font>
      <name val="Calibri"/>
      <family val="2"/>
      <color theme="1"/>
      <sz val="11"/>
      <scheme val="minor"/>
    </font>
    <font>
      <name val="Arial"/>
      <b val="1"/>
      <color rgb="001F4E5F"/>
      <sz val="16"/>
    </font>
    <font>
      <name val="Arial"/>
      <b val="1"/>
    </font>
    <font>
      <name val="Arial"/>
      <sz val="11"/>
    </font>
    <font>
      <name val="Arial"/>
      <b val="1"/>
      <color rgb="001F4E5F"/>
      <sz val="12"/>
    </font>
    <font>
      <name val="Arial"/>
      <b val="1"/>
      <color rgb="00FFFFFF"/>
    </font>
    <font>
      <name val="Arial"/>
      <color rgb="00000000"/>
    </font>
    <font>
      <name val="Arial"/>
      <color rgb="000000FF"/>
    </font>
    <font>
      <name val="Arial"/>
      <i val="1"/>
      <color rgb="00666666"/>
      <sz val="9"/>
    </font>
    <font>
      <name val="Arial"/>
      <color rgb="00008000"/>
    </font>
  </fonts>
  <fills count="4">
    <fill>
      <patternFill/>
    </fill>
    <fill>
      <patternFill patternType="gray125"/>
    </fill>
    <fill>
      <patternFill patternType="solid">
        <fgColor rgb="001F4E5F"/>
        <bgColor rgb="001F4E5F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10" fontId="7" fillId="3" borderId="1" pivotButton="0" quotePrefix="0" xfId="0"/>
    <xf numFmtId="0" fontId="8" fillId="0" borderId="0" pivotButton="0" quotePrefix="0" xfId="0"/>
    <xf numFmtId="0" fontId="7" fillId="0" borderId="1" pivotButton="0" quotePrefix="0" xfId="0"/>
    <xf numFmtId="164" fontId="7" fillId="0" borderId="1" pivotButton="0" quotePrefix="0" xfId="0"/>
    <xf numFmtId="0" fontId="9" fillId="0" borderId="1" pivotButton="0" quotePrefix="0" xfId="0"/>
    <xf numFmtId="164" fontId="9" fillId="0" borderId="1" pivotButton="0" quotePrefix="0" xfId="0"/>
    <xf numFmtId="10" fontId="9" fillId="0" borderId="1" pivotButton="0" quotePrefix="0" xfId="0"/>
    <xf numFmtId="164" fontId="6" fillId="0" borderId="1" pivotButton="0" quotePrefix="0" xfId="0"/>
    <xf numFmtId="0" fontId="6" fillId="0" borderId="0" pivotButton="0" quotePrefix="0" xfId="0"/>
    <xf numFmtId="164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8CBAD"/>
          <bgColor rgb="00F8CBAD"/>
        </patternFill>
      </fill>
    </dxf>
    <dxf>
      <fill>
        <patternFill patternType="solid">
          <fgColor rgb="00FFE699"/>
          <bgColor rgb="00FFE699"/>
        </patternFill>
      </fill>
    </dxf>
    <dxf>
      <fill>
        <patternFill patternType="solid">
          <fgColor rgb="00C6E0B4"/>
          <b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>
      <c r="B2" s="1" t="inlineStr">
        <is>
          <t>Payment Gateway TDR Settlement Audit Template</t>
        </is>
      </c>
    </row>
    <row r="4">
      <c r="B4" s="2" t="inlineStr">
        <is>
          <t>What this does</t>
        </is>
      </c>
    </row>
    <row r="5">
      <c r="B5" s="3" t="inlineStr">
        <is>
          <t>Checks every payment gateway settlement against your contracted TDR (Transaction Discount Rate) card - by payment method - and flags where the gateway deducted more than it should have.</t>
        </is>
      </c>
    </row>
    <row r="6">
      <c r="B6" s="3" t="n"/>
    </row>
    <row r="7">
      <c r="B7" s="3" t="inlineStr">
        <is>
          <t>How to use it</t>
        </is>
      </c>
    </row>
    <row r="8">
      <c r="B8" s="3" t="inlineStr">
        <is>
          <t>1. Go to the 'TDR Rate Card' tab and replace the sample rates with your own gateway contract rates (cells shaded yellow).</t>
        </is>
      </c>
    </row>
    <row r="9">
      <c r="B9" s="3" t="inlineStr">
        <is>
          <t>2. Go to the 'Settlement Data' tab and paste your own settlement export, replacing the sample rows (keep the same columns).</t>
        </is>
      </c>
    </row>
    <row r="10">
      <c r="B10" s="3" t="inlineStr">
        <is>
          <t>3. Open the 'Audit' tab - every transaction recalculates automatically and shows a Verdict: MATCH, OVERCHARGED, or UNDERBILLED.</t>
        </is>
      </c>
    </row>
    <row r="11">
      <c r="B11" s="3" t="inlineStr">
        <is>
          <t>4. Check the 'Summary Dashboard' tab for total overcharge amount and a payment-method breakdown - this is your refund claim list.</t>
        </is>
      </c>
    </row>
    <row r="12">
      <c r="B12" s="3" t="n"/>
    </row>
    <row r="13">
      <c r="B13" s="3" t="inlineStr">
        <is>
          <t>Notes</t>
        </is>
      </c>
    </row>
    <row r="14">
      <c r="B14" s="3" t="inlineStr">
        <is>
          <t>- All figures are in INR (Rs). Blue cells = inputs you edit. Black cells = formulas, don't overtype them.</t>
        </is>
      </c>
    </row>
    <row r="15">
      <c r="B15" s="3" t="inlineStr">
        <is>
          <t>- GST is applied on the TDR amount, not on the transaction amount - this template follows that convention.</t>
        </is>
      </c>
    </row>
    <row r="16">
      <c r="B16" s="3" t="inlineStr">
        <is>
          <t>- This is a generic template with illustrative sample data - it is not tied to any specific payment gateway or brand.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6" customWidth="1" min="3" max="3"/>
  </cols>
  <sheetData>
    <row r="1">
      <c r="A1" s="4" t="inlineStr">
        <is>
          <t>TDR Rate Card - SAMPLE VALUES, replace with your own payment gateway contract</t>
        </is>
      </c>
    </row>
    <row r="3">
      <c r="A3" s="5" t="inlineStr">
        <is>
          <t>Payment Method</t>
        </is>
      </c>
      <c r="B3" s="5" t="inlineStr">
        <is>
          <t>TDR Rate (% of transaction amount)</t>
        </is>
      </c>
      <c r="C3" s="5" t="inlineStr">
        <is>
          <t>GST on TDR (%)</t>
        </is>
      </c>
    </row>
    <row r="4">
      <c r="A4" s="6" t="inlineStr">
        <is>
          <t>UPI</t>
        </is>
      </c>
      <c r="B4" s="7" t="n">
        <v>0.003</v>
      </c>
      <c r="C4" s="7" t="n">
        <v>0.18</v>
      </c>
    </row>
    <row r="5">
      <c r="A5" s="6" t="inlineStr">
        <is>
          <t>Debit Card</t>
        </is>
      </c>
      <c r="B5" s="7" t="n">
        <v>0.004</v>
      </c>
      <c r="C5" s="7" t="n">
        <v>0.18</v>
      </c>
    </row>
    <row r="6">
      <c r="A6" s="6" t="inlineStr">
        <is>
          <t>Credit Card</t>
        </is>
      </c>
      <c r="B6" s="7" t="n">
        <v>0.018</v>
      </c>
      <c r="C6" s="7" t="n">
        <v>0.18</v>
      </c>
    </row>
    <row r="7">
      <c r="A7" s="6" t="inlineStr">
        <is>
          <t>Netbanking</t>
        </is>
      </c>
      <c r="B7" s="7" t="n">
        <v>0.01</v>
      </c>
      <c r="C7" s="7" t="n">
        <v>0.18</v>
      </c>
    </row>
    <row r="8">
      <c r="A8" s="6" t="inlineStr">
        <is>
          <t>Wallet</t>
        </is>
      </c>
      <c r="B8" s="7" t="n">
        <v>0.015</v>
      </c>
      <c r="C8" s="7" t="n">
        <v>0.18</v>
      </c>
    </row>
    <row r="11">
      <c r="A11" s="8" t="inlineStr">
        <is>
          <t>Blue/yellow cells are sample inputs - overwrite with your own contracted TDR rates. Add more payment method rows if needed.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6" customWidth="1" min="3" max="3"/>
    <col width="20" customWidth="1" min="4" max="4"/>
    <col width="26" customWidth="1" min="5" max="5"/>
    <col width="20" customWidth="1" min="6" max="6"/>
    <col width="20" customWidth="1" min="7" max="7"/>
  </cols>
  <sheetData>
    <row r="1">
      <c r="A1" s="5" t="inlineStr">
        <is>
          <t>Transaction ID</t>
        </is>
      </c>
      <c r="B1" s="5" t="inlineStr">
        <is>
          <t>Order ID</t>
        </is>
      </c>
      <c r="C1" s="5" t="inlineStr">
        <is>
          <t>Payment Method</t>
        </is>
      </c>
      <c r="D1" s="5" t="inlineStr">
        <is>
          <t>Transaction Amount (Rs)</t>
        </is>
      </c>
      <c r="E1" s="5" t="inlineStr">
        <is>
          <t>TDR Deducted by Gateway (Rs)</t>
        </is>
      </c>
      <c r="F1" s="5" t="inlineStr">
        <is>
          <t>GST on TDR Deducted (Rs)</t>
        </is>
      </c>
      <c r="G1" s="5" t="inlineStr">
        <is>
          <t>Net Settled Amount (Rs)</t>
        </is>
      </c>
    </row>
    <row r="2">
      <c r="A2" s="9" t="inlineStr">
        <is>
          <t>TXN90001</t>
        </is>
      </c>
      <c r="B2" s="9" t="inlineStr">
        <is>
          <t>ORD6001</t>
        </is>
      </c>
      <c r="C2" s="9" t="inlineStr">
        <is>
          <t>UPI</t>
        </is>
      </c>
      <c r="D2" s="10" t="n">
        <v>1299</v>
      </c>
      <c r="E2" s="10" t="n">
        <v>10.68</v>
      </c>
      <c r="F2" s="10" t="n">
        <v>1.92</v>
      </c>
      <c r="G2" s="10" t="n">
        <v>1286.4</v>
      </c>
    </row>
    <row r="3">
      <c r="A3" s="9" t="inlineStr">
        <is>
          <t>TXN90002</t>
        </is>
      </c>
      <c r="B3" s="9" t="inlineStr">
        <is>
          <t>ORD6002</t>
        </is>
      </c>
      <c r="C3" s="9" t="inlineStr">
        <is>
          <t>Credit Card</t>
        </is>
      </c>
      <c r="D3" s="10" t="n">
        <v>2499</v>
      </c>
      <c r="E3" s="10" t="n">
        <v>83.12</v>
      </c>
      <c r="F3" s="10" t="n">
        <v>14.96</v>
      </c>
      <c r="G3" s="10" t="n">
        <v>2400.92</v>
      </c>
    </row>
    <row r="4">
      <c r="A4" s="9" t="inlineStr">
        <is>
          <t>TXN90003</t>
        </is>
      </c>
      <c r="B4" s="9" t="inlineStr">
        <is>
          <t>ORD6003</t>
        </is>
      </c>
      <c r="C4" s="9" t="inlineStr">
        <is>
          <t>Debit Card</t>
        </is>
      </c>
      <c r="D4" s="10" t="n">
        <v>899</v>
      </c>
      <c r="E4" s="10" t="n">
        <v>3.6</v>
      </c>
      <c r="F4" s="10" t="n">
        <v>0.64</v>
      </c>
      <c r="G4" s="10" t="n">
        <v>894.76</v>
      </c>
    </row>
    <row r="5">
      <c r="A5" s="9" t="inlineStr">
        <is>
          <t>TXN90004</t>
        </is>
      </c>
      <c r="B5" s="9" t="inlineStr">
        <is>
          <t>ORD6004</t>
        </is>
      </c>
      <c r="C5" s="9" t="inlineStr">
        <is>
          <t>Netbanking</t>
        </is>
      </c>
      <c r="D5" s="10" t="n">
        <v>1799</v>
      </c>
      <c r="E5" s="10" t="n">
        <v>34.94</v>
      </c>
      <c r="F5" s="10" t="n">
        <v>6.29</v>
      </c>
      <c r="G5" s="10" t="n">
        <v>1757.77</v>
      </c>
    </row>
    <row r="6">
      <c r="A6" s="9" t="inlineStr">
        <is>
          <t>TXN90005</t>
        </is>
      </c>
      <c r="B6" s="9" t="inlineStr">
        <is>
          <t>ORD6005</t>
        </is>
      </c>
      <c r="C6" s="9" t="inlineStr">
        <is>
          <t>Wallet</t>
        </is>
      </c>
      <c r="D6" s="10" t="n">
        <v>599</v>
      </c>
      <c r="E6" s="10" t="n">
        <v>19.15</v>
      </c>
      <c r="F6" s="10" t="n">
        <v>3.45</v>
      </c>
      <c r="G6" s="10" t="n">
        <v>576.4</v>
      </c>
    </row>
    <row r="7">
      <c r="A7" s="9" t="inlineStr">
        <is>
          <t>TXN90006</t>
        </is>
      </c>
      <c r="B7" s="9" t="inlineStr">
        <is>
          <t>ORD6006</t>
        </is>
      </c>
      <c r="C7" s="9" t="inlineStr">
        <is>
          <t>UPI</t>
        </is>
      </c>
      <c r="D7" s="10" t="n">
        <v>3499</v>
      </c>
      <c r="E7" s="10" t="n">
        <v>10.5</v>
      </c>
      <c r="F7" s="10" t="n">
        <v>1.89</v>
      </c>
      <c r="G7" s="10" t="n">
        <v>3486.61</v>
      </c>
    </row>
    <row r="8">
      <c r="A8" s="9" t="inlineStr">
        <is>
          <t>TXN90007</t>
        </is>
      </c>
      <c r="B8" s="9" t="inlineStr">
        <is>
          <t>ORD6007</t>
        </is>
      </c>
      <c r="C8" s="9" t="inlineStr">
        <is>
          <t>Credit Card</t>
        </is>
      </c>
      <c r="D8" s="10" t="n">
        <v>4299</v>
      </c>
      <c r="E8" s="10" t="n">
        <v>128.23</v>
      </c>
      <c r="F8" s="10" t="n">
        <v>23.08</v>
      </c>
      <c r="G8" s="10" t="n">
        <v>4147.69</v>
      </c>
    </row>
    <row r="9">
      <c r="A9" s="9" t="inlineStr">
        <is>
          <t>TXN90008</t>
        </is>
      </c>
      <c r="B9" s="9" t="inlineStr">
        <is>
          <t>ORD6008</t>
        </is>
      </c>
      <c r="C9" s="9" t="inlineStr">
        <is>
          <t>Debit Card</t>
        </is>
      </c>
      <c r="D9" s="10" t="n">
        <v>1099</v>
      </c>
      <c r="E9" s="10" t="n">
        <v>17.11</v>
      </c>
      <c r="F9" s="10" t="n">
        <v>3.08</v>
      </c>
      <c r="G9" s="10" t="n">
        <v>1078.81</v>
      </c>
    </row>
    <row r="10">
      <c r="A10" s="9" t="inlineStr">
        <is>
          <t>TXN90009</t>
        </is>
      </c>
      <c r="B10" s="9" t="inlineStr">
        <is>
          <t>ORD6009</t>
        </is>
      </c>
      <c r="C10" s="9" t="inlineStr">
        <is>
          <t>Netbanking</t>
        </is>
      </c>
      <c r="D10" s="10" t="n">
        <v>2199</v>
      </c>
      <c r="E10" s="10" t="n">
        <v>43.18</v>
      </c>
      <c r="F10" s="10" t="n">
        <v>7.77</v>
      </c>
      <c r="G10" s="10" t="n">
        <v>2148.05</v>
      </c>
    </row>
    <row r="11">
      <c r="A11" s="9" t="inlineStr">
        <is>
          <t>TXN90010</t>
        </is>
      </c>
      <c r="B11" s="9" t="inlineStr">
        <is>
          <t>ORD6010</t>
        </is>
      </c>
      <c r="C11" s="9" t="inlineStr">
        <is>
          <t>Wallet</t>
        </is>
      </c>
      <c r="D11" s="10" t="n">
        <v>1499</v>
      </c>
      <c r="E11" s="10" t="n">
        <v>37.74</v>
      </c>
      <c r="F11" s="10" t="n">
        <v>6.79</v>
      </c>
      <c r="G11" s="10" t="n">
        <v>1454.47</v>
      </c>
    </row>
    <row r="12">
      <c r="A12" s="9" t="inlineStr">
        <is>
          <t>TXN90011</t>
        </is>
      </c>
      <c r="B12" s="9" t="inlineStr">
        <is>
          <t>ORD6011</t>
        </is>
      </c>
      <c r="C12" s="9" t="inlineStr">
        <is>
          <t>UPI</t>
        </is>
      </c>
      <c r="D12" s="10" t="n">
        <v>999</v>
      </c>
      <c r="E12" s="10" t="n">
        <v>2.15</v>
      </c>
      <c r="F12" s="10" t="n">
        <v>0.39</v>
      </c>
      <c r="G12" s="10" t="n">
        <v>996.46</v>
      </c>
    </row>
    <row r="13">
      <c r="A13" s="9" t="inlineStr">
        <is>
          <t>TXN90012</t>
        </is>
      </c>
      <c r="B13" s="9" t="inlineStr">
        <is>
          <t>ORD6012</t>
        </is>
      </c>
      <c r="C13" s="9" t="inlineStr">
        <is>
          <t>Credit Card</t>
        </is>
      </c>
      <c r="D13" s="10" t="n">
        <v>5499</v>
      </c>
      <c r="E13" s="10" t="n">
        <v>175.25</v>
      </c>
      <c r="F13" s="10" t="n">
        <v>31.55</v>
      </c>
      <c r="G13" s="10" t="n">
        <v>5292.2</v>
      </c>
    </row>
    <row r="210">
      <c r="A210" s="8" t="inlineStr">
        <is>
          <t>Replace these sample rows with your own settlement export. Keep the same column order.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16" customWidth="1" min="4" max="4"/>
    <col width="18" customWidth="1" min="5" max="5"/>
    <col width="18" customWidth="1" min="6" max="6"/>
    <col width="20" customWidth="1" min="7" max="7"/>
    <col width="18" customWidth="1" min="8" max="8"/>
    <col width="18" customWidth="1" min="9" max="9"/>
    <col width="18" customWidth="1" min="10" max="10"/>
    <col width="14" customWidth="1" min="11" max="11"/>
    <col width="16" customWidth="1" min="12" max="12"/>
  </cols>
  <sheetData>
    <row r="1">
      <c r="A1" s="5" t="inlineStr">
        <is>
          <t>Transaction ID</t>
        </is>
      </c>
      <c r="B1" s="5" t="inlineStr">
        <is>
          <t>Payment Method</t>
        </is>
      </c>
      <c r="C1" s="5" t="inlineStr">
        <is>
          <t>Transaction Amount (Rs)</t>
        </is>
      </c>
      <c r="D1" s="5" t="inlineStr">
        <is>
          <t>Expected TDR Rate (%)</t>
        </is>
      </c>
      <c r="E1" s="5" t="inlineStr">
        <is>
          <t>Expected TDR Amount (Rs)</t>
        </is>
      </c>
      <c r="F1" s="5" t="inlineStr">
        <is>
          <t>Expected GST on TDR (Rs)</t>
        </is>
      </c>
      <c r="G1" s="5" t="inlineStr">
        <is>
          <t>Expected Total Deduction (Rs)</t>
        </is>
      </c>
      <c r="H1" s="5" t="inlineStr">
        <is>
          <t>Actual TDR Deducted (Rs)</t>
        </is>
      </c>
      <c r="I1" s="5" t="inlineStr">
        <is>
          <t>Actual GST Deducted (Rs)</t>
        </is>
      </c>
      <c r="J1" s="5" t="inlineStr">
        <is>
          <t>Actual Total Deduction (Rs)</t>
        </is>
      </c>
      <c r="K1" s="5" t="inlineStr">
        <is>
          <t>Variance (Rs)</t>
        </is>
      </c>
      <c r="L1" s="5" t="inlineStr">
        <is>
          <t>Verdict</t>
        </is>
      </c>
    </row>
    <row r="2">
      <c r="A2" s="11">
        <f>IF('Settlement Data'!A2="","",'Settlement Data'!A2)</f>
        <v/>
      </c>
      <c r="B2" s="11">
        <f>IF('Settlement Data'!A2="","",'Settlement Data'!C2)</f>
        <v/>
      </c>
      <c r="C2" s="12">
        <f>IF('Settlement Data'!A2="","",'Settlement Data'!D2)</f>
        <v/>
      </c>
      <c r="D2" s="13">
        <f>IF('Settlement Data'!A2="","",INDEX('TDR Rate Card'!$B$4:$B$8,MATCH(B2,'TDR Rate Card'!$A$4:$A$8,0)))</f>
        <v/>
      </c>
      <c r="E2" s="14">
        <f>IF('Settlement Data'!A2="","",C2*D2)</f>
        <v/>
      </c>
      <c r="F2" s="12">
        <f>IF('Settlement Data'!A2="","",E2*INDEX('TDR Rate Card'!$C$4:$C$8,MATCH(B2,'TDR Rate Card'!$A$4:$A$8,0)))</f>
        <v/>
      </c>
      <c r="G2" s="14">
        <f>IF('Settlement Data'!A2="","",E2+F2)</f>
        <v/>
      </c>
      <c r="H2" s="12">
        <f>IF('Settlement Data'!A2="","",'Settlement Data'!E2)</f>
        <v/>
      </c>
      <c r="I2" s="12">
        <f>IF('Settlement Data'!A2="","",'Settlement Data'!F2)</f>
        <v/>
      </c>
      <c r="J2" s="14">
        <f>IF('Settlement Data'!A2="","",H2+I2)</f>
        <v/>
      </c>
      <c r="K2" s="14">
        <f>IF('Settlement Data'!A2="","",J2-G2)</f>
        <v/>
      </c>
      <c r="L2" s="6">
        <f>IF('Settlement Data'!A2="","",IF(K2&gt;0.5,"OVERCHARGED",IF(K2&lt;-0.5,"UNDERBILLED","MATCH")))</f>
        <v/>
      </c>
    </row>
    <row r="3">
      <c r="A3" s="11">
        <f>IF('Settlement Data'!A3="","",'Settlement Data'!A3)</f>
        <v/>
      </c>
      <c r="B3" s="11">
        <f>IF('Settlement Data'!A3="","",'Settlement Data'!C3)</f>
        <v/>
      </c>
      <c r="C3" s="12">
        <f>IF('Settlement Data'!A3="","",'Settlement Data'!D3)</f>
        <v/>
      </c>
      <c r="D3" s="13">
        <f>IF('Settlement Data'!A3="","",INDEX('TDR Rate Card'!$B$4:$B$8,MATCH(B3,'TDR Rate Card'!$A$4:$A$8,0)))</f>
        <v/>
      </c>
      <c r="E3" s="14">
        <f>IF('Settlement Data'!A3="","",C3*D3)</f>
        <v/>
      </c>
      <c r="F3" s="12">
        <f>IF('Settlement Data'!A3="","",E3*INDEX('TDR Rate Card'!$C$4:$C$8,MATCH(B3,'TDR Rate Card'!$A$4:$A$8,0)))</f>
        <v/>
      </c>
      <c r="G3" s="14">
        <f>IF('Settlement Data'!A3="","",E3+F3)</f>
        <v/>
      </c>
      <c r="H3" s="12">
        <f>IF('Settlement Data'!A3="","",'Settlement Data'!E3)</f>
        <v/>
      </c>
      <c r="I3" s="12">
        <f>IF('Settlement Data'!A3="","",'Settlement Data'!F3)</f>
        <v/>
      </c>
      <c r="J3" s="14">
        <f>IF('Settlement Data'!A3="","",H3+I3)</f>
        <v/>
      </c>
      <c r="K3" s="14">
        <f>IF('Settlement Data'!A3="","",J3-G3)</f>
        <v/>
      </c>
      <c r="L3" s="6">
        <f>IF('Settlement Data'!A3="","",IF(K3&gt;0.5,"OVERCHARGED",IF(K3&lt;-0.5,"UNDERBILLED","MATCH")))</f>
        <v/>
      </c>
    </row>
    <row r="4">
      <c r="A4" s="11">
        <f>IF('Settlement Data'!A4="","",'Settlement Data'!A4)</f>
        <v/>
      </c>
      <c r="B4" s="11">
        <f>IF('Settlement Data'!A4="","",'Settlement Data'!C4)</f>
        <v/>
      </c>
      <c r="C4" s="12">
        <f>IF('Settlement Data'!A4="","",'Settlement Data'!D4)</f>
        <v/>
      </c>
      <c r="D4" s="13">
        <f>IF('Settlement Data'!A4="","",INDEX('TDR Rate Card'!$B$4:$B$8,MATCH(B4,'TDR Rate Card'!$A$4:$A$8,0)))</f>
        <v/>
      </c>
      <c r="E4" s="14">
        <f>IF('Settlement Data'!A4="","",C4*D4)</f>
        <v/>
      </c>
      <c r="F4" s="12">
        <f>IF('Settlement Data'!A4="","",E4*INDEX('TDR Rate Card'!$C$4:$C$8,MATCH(B4,'TDR Rate Card'!$A$4:$A$8,0)))</f>
        <v/>
      </c>
      <c r="G4" s="14">
        <f>IF('Settlement Data'!A4="","",E4+F4)</f>
        <v/>
      </c>
      <c r="H4" s="12">
        <f>IF('Settlement Data'!A4="","",'Settlement Data'!E4)</f>
        <v/>
      </c>
      <c r="I4" s="12">
        <f>IF('Settlement Data'!A4="","",'Settlement Data'!F4)</f>
        <v/>
      </c>
      <c r="J4" s="14">
        <f>IF('Settlement Data'!A4="","",H4+I4)</f>
        <v/>
      </c>
      <c r="K4" s="14">
        <f>IF('Settlement Data'!A4="","",J4-G4)</f>
        <v/>
      </c>
      <c r="L4" s="6">
        <f>IF('Settlement Data'!A4="","",IF(K4&gt;0.5,"OVERCHARGED",IF(K4&lt;-0.5,"UNDERBILLED","MATCH")))</f>
        <v/>
      </c>
    </row>
    <row r="5">
      <c r="A5" s="11">
        <f>IF('Settlement Data'!A5="","",'Settlement Data'!A5)</f>
        <v/>
      </c>
      <c r="B5" s="11">
        <f>IF('Settlement Data'!A5="","",'Settlement Data'!C5)</f>
        <v/>
      </c>
      <c r="C5" s="12">
        <f>IF('Settlement Data'!A5="","",'Settlement Data'!D5)</f>
        <v/>
      </c>
      <c r="D5" s="13">
        <f>IF('Settlement Data'!A5="","",INDEX('TDR Rate Card'!$B$4:$B$8,MATCH(B5,'TDR Rate Card'!$A$4:$A$8,0)))</f>
        <v/>
      </c>
      <c r="E5" s="14">
        <f>IF('Settlement Data'!A5="","",C5*D5)</f>
        <v/>
      </c>
      <c r="F5" s="12">
        <f>IF('Settlement Data'!A5="","",E5*INDEX('TDR Rate Card'!$C$4:$C$8,MATCH(B5,'TDR Rate Card'!$A$4:$A$8,0)))</f>
        <v/>
      </c>
      <c r="G5" s="14">
        <f>IF('Settlement Data'!A5="","",E5+F5)</f>
        <v/>
      </c>
      <c r="H5" s="12">
        <f>IF('Settlement Data'!A5="","",'Settlement Data'!E5)</f>
        <v/>
      </c>
      <c r="I5" s="12">
        <f>IF('Settlement Data'!A5="","",'Settlement Data'!F5)</f>
        <v/>
      </c>
      <c r="J5" s="14">
        <f>IF('Settlement Data'!A5="","",H5+I5)</f>
        <v/>
      </c>
      <c r="K5" s="14">
        <f>IF('Settlement Data'!A5="","",J5-G5)</f>
        <v/>
      </c>
      <c r="L5" s="6">
        <f>IF('Settlement Data'!A5="","",IF(K5&gt;0.5,"OVERCHARGED",IF(K5&lt;-0.5,"UNDERBILLED","MATCH")))</f>
        <v/>
      </c>
    </row>
    <row r="6">
      <c r="A6" s="11">
        <f>IF('Settlement Data'!A6="","",'Settlement Data'!A6)</f>
        <v/>
      </c>
      <c r="B6" s="11">
        <f>IF('Settlement Data'!A6="","",'Settlement Data'!C6)</f>
        <v/>
      </c>
      <c r="C6" s="12">
        <f>IF('Settlement Data'!A6="","",'Settlement Data'!D6)</f>
        <v/>
      </c>
      <c r="D6" s="13">
        <f>IF('Settlement Data'!A6="","",INDEX('TDR Rate Card'!$B$4:$B$8,MATCH(B6,'TDR Rate Card'!$A$4:$A$8,0)))</f>
        <v/>
      </c>
      <c r="E6" s="14">
        <f>IF('Settlement Data'!A6="","",C6*D6)</f>
        <v/>
      </c>
      <c r="F6" s="12">
        <f>IF('Settlement Data'!A6="","",E6*INDEX('TDR Rate Card'!$C$4:$C$8,MATCH(B6,'TDR Rate Card'!$A$4:$A$8,0)))</f>
        <v/>
      </c>
      <c r="G6" s="14">
        <f>IF('Settlement Data'!A6="","",E6+F6)</f>
        <v/>
      </c>
      <c r="H6" s="12">
        <f>IF('Settlement Data'!A6="","",'Settlement Data'!E6)</f>
        <v/>
      </c>
      <c r="I6" s="12">
        <f>IF('Settlement Data'!A6="","",'Settlement Data'!F6)</f>
        <v/>
      </c>
      <c r="J6" s="14">
        <f>IF('Settlement Data'!A6="","",H6+I6)</f>
        <v/>
      </c>
      <c r="K6" s="14">
        <f>IF('Settlement Data'!A6="","",J6-G6)</f>
        <v/>
      </c>
      <c r="L6" s="6">
        <f>IF('Settlement Data'!A6="","",IF(K6&gt;0.5,"OVERCHARGED",IF(K6&lt;-0.5,"UNDERBILLED","MATCH")))</f>
        <v/>
      </c>
    </row>
    <row r="7">
      <c r="A7" s="11">
        <f>IF('Settlement Data'!A7="","",'Settlement Data'!A7)</f>
        <v/>
      </c>
      <c r="B7" s="11">
        <f>IF('Settlement Data'!A7="","",'Settlement Data'!C7)</f>
        <v/>
      </c>
      <c r="C7" s="12">
        <f>IF('Settlement Data'!A7="","",'Settlement Data'!D7)</f>
        <v/>
      </c>
      <c r="D7" s="13">
        <f>IF('Settlement Data'!A7="","",INDEX('TDR Rate Card'!$B$4:$B$8,MATCH(B7,'TDR Rate Card'!$A$4:$A$8,0)))</f>
        <v/>
      </c>
      <c r="E7" s="14">
        <f>IF('Settlement Data'!A7="","",C7*D7)</f>
        <v/>
      </c>
      <c r="F7" s="12">
        <f>IF('Settlement Data'!A7="","",E7*INDEX('TDR Rate Card'!$C$4:$C$8,MATCH(B7,'TDR Rate Card'!$A$4:$A$8,0)))</f>
        <v/>
      </c>
      <c r="G7" s="14">
        <f>IF('Settlement Data'!A7="","",E7+F7)</f>
        <v/>
      </c>
      <c r="H7" s="12">
        <f>IF('Settlement Data'!A7="","",'Settlement Data'!E7)</f>
        <v/>
      </c>
      <c r="I7" s="12">
        <f>IF('Settlement Data'!A7="","",'Settlement Data'!F7)</f>
        <v/>
      </c>
      <c r="J7" s="14">
        <f>IF('Settlement Data'!A7="","",H7+I7)</f>
        <v/>
      </c>
      <c r="K7" s="14">
        <f>IF('Settlement Data'!A7="","",J7-G7)</f>
        <v/>
      </c>
      <c r="L7" s="6">
        <f>IF('Settlement Data'!A7="","",IF(K7&gt;0.5,"OVERCHARGED",IF(K7&lt;-0.5,"UNDERBILLED","MATCH")))</f>
        <v/>
      </c>
    </row>
    <row r="8">
      <c r="A8" s="11">
        <f>IF('Settlement Data'!A8="","",'Settlement Data'!A8)</f>
        <v/>
      </c>
      <c r="B8" s="11">
        <f>IF('Settlement Data'!A8="","",'Settlement Data'!C8)</f>
        <v/>
      </c>
      <c r="C8" s="12">
        <f>IF('Settlement Data'!A8="","",'Settlement Data'!D8)</f>
        <v/>
      </c>
      <c r="D8" s="13">
        <f>IF('Settlement Data'!A8="","",INDEX('TDR Rate Card'!$B$4:$B$8,MATCH(B8,'TDR Rate Card'!$A$4:$A$8,0)))</f>
        <v/>
      </c>
      <c r="E8" s="14">
        <f>IF('Settlement Data'!A8="","",C8*D8)</f>
        <v/>
      </c>
      <c r="F8" s="12">
        <f>IF('Settlement Data'!A8="","",E8*INDEX('TDR Rate Card'!$C$4:$C$8,MATCH(B8,'TDR Rate Card'!$A$4:$A$8,0)))</f>
        <v/>
      </c>
      <c r="G8" s="14">
        <f>IF('Settlement Data'!A8="","",E8+F8)</f>
        <v/>
      </c>
      <c r="H8" s="12">
        <f>IF('Settlement Data'!A8="","",'Settlement Data'!E8)</f>
        <v/>
      </c>
      <c r="I8" s="12">
        <f>IF('Settlement Data'!A8="","",'Settlement Data'!F8)</f>
        <v/>
      </c>
      <c r="J8" s="14">
        <f>IF('Settlement Data'!A8="","",H8+I8)</f>
        <v/>
      </c>
      <c r="K8" s="14">
        <f>IF('Settlement Data'!A8="","",J8-G8)</f>
        <v/>
      </c>
      <c r="L8" s="6">
        <f>IF('Settlement Data'!A8="","",IF(K8&gt;0.5,"OVERCHARGED",IF(K8&lt;-0.5,"UNDERBILLED","MATCH")))</f>
        <v/>
      </c>
    </row>
    <row r="9">
      <c r="A9" s="11">
        <f>IF('Settlement Data'!A9="","",'Settlement Data'!A9)</f>
        <v/>
      </c>
      <c r="B9" s="11">
        <f>IF('Settlement Data'!A9="","",'Settlement Data'!C9)</f>
        <v/>
      </c>
      <c r="C9" s="12">
        <f>IF('Settlement Data'!A9="","",'Settlement Data'!D9)</f>
        <v/>
      </c>
      <c r="D9" s="13">
        <f>IF('Settlement Data'!A9="","",INDEX('TDR Rate Card'!$B$4:$B$8,MATCH(B9,'TDR Rate Card'!$A$4:$A$8,0)))</f>
        <v/>
      </c>
      <c r="E9" s="14">
        <f>IF('Settlement Data'!A9="","",C9*D9)</f>
        <v/>
      </c>
      <c r="F9" s="12">
        <f>IF('Settlement Data'!A9="","",E9*INDEX('TDR Rate Card'!$C$4:$C$8,MATCH(B9,'TDR Rate Card'!$A$4:$A$8,0)))</f>
        <v/>
      </c>
      <c r="G9" s="14">
        <f>IF('Settlement Data'!A9="","",E9+F9)</f>
        <v/>
      </c>
      <c r="H9" s="12">
        <f>IF('Settlement Data'!A9="","",'Settlement Data'!E9)</f>
        <v/>
      </c>
      <c r="I9" s="12">
        <f>IF('Settlement Data'!A9="","",'Settlement Data'!F9)</f>
        <v/>
      </c>
      <c r="J9" s="14">
        <f>IF('Settlement Data'!A9="","",H9+I9)</f>
        <v/>
      </c>
      <c r="K9" s="14">
        <f>IF('Settlement Data'!A9="","",J9-G9)</f>
        <v/>
      </c>
      <c r="L9" s="6">
        <f>IF('Settlement Data'!A9="","",IF(K9&gt;0.5,"OVERCHARGED",IF(K9&lt;-0.5,"UNDERBILLED","MATCH")))</f>
        <v/>
      </c>
    </row>
    <row r="10">
      <c r="A10" s="11">
        <f>IF('Settlement Data'!A10="","",'Settlement Data'!A10)</f>
        <v/>
      </c>
      <c r="B10" s="11">
        <f>IF('Settlement Data'!A10="","",'Settlement Data'!C10)</f>
        <v/>
      </c>
      <c r="C10" s="12">
        <f>IF('Settlement Data'!A10="","",'Settlement Data'!D10)</f>
        <v/>
      </c>
      <c r="D10" s="13">
        <f>IF('Settlement Data'!A10="","",INDEX('TDR Rate Card'!$B$4:$B$8,MATCH(B10,'TDR Rate Card'!$A$4:$A$8,0)))</f>
        <v/>
      </c>
      <c r="E10" s="14">
        <f>IF('Settlement Data'!A10="","",C10*D10)</f>
        <v/>
      </c>
      <c r="F10" s="12">
        <f>IF('Settlement Data'!A10="","",E10*INDEX('TDR Rate Card'!$C$4:$C$8,MATCH(B10,'TDR Rate Card'!$A$4:$A$8,0)))</f>
        <v/>
      </c>
      <c r="G10" s="14">
        <f>IF('Settlement Data'!A10="","",E10+F10)</f>
        <v/>
      </c>
      <c r="H10" s="12">
        <f>IF('Settlement Data'!A10="","",'Settlement Data'!E10)</f>
        <v/>
      </c>
      <c r="I10" s="12">
        <f>IF('Settlement Data'!A10="","",'Settlement Data'!F10)</f>
        <v/>
      </c>
      <c r="J10" s="14">
        <f>IF('Settlement Data'!A10="","",H10+I10)</f>
        <v/>
      </c>
      <c r="K10" s="14">
        <f>IF('Settlement Data'!A10="","",J10-G10)</f>
        <v/>
      </c>
      <c r="L10" s="6">
        <f>IF('Settlement Data'!A10="","",IF(K10&gt;0.5,"OVERCHARGED",IF(K10&lt;-0.5,"UNDERBILLED","MATCH")))</f>
        <v/>
      </c>
    </row>
    <row r="11">
      <c r="A11" s="11">
        <f>IF('Settlement Data'!A11="","",'Settlement Data'!A11)</f>
        <v/>
      </c>
      <c r="B11" s="11">
        <f>IF('Settlement Data'!A11="","",'Settlement Data'!C11)</f>
        <v/>
      </c>
      <c r="C11" s="12">
        <f>IF('Settlement Data'!A11="","",'Settlement Data'!D11)</f>
        <v/>
      </c>
      <c r="D11" s="13">
        <f>IF('Settlement Data'!A11="","",INDEX('TDR Rate Card'!$B$4:$B$8,MATCH(B11,'TDR Rate Card'!$A$4:$A$8,0)))</f>
        <v/>
      </c>
      <c r="E11" s="14">
        <f>IF('Settlement Data'!A11="","",C11*D11)</f>
        <v/>
      </c>
      <c r="F11" s="12">
        <f>IF('Settlement Data'!A11="","",E11*INDEX('TDR Rate Card'!$C$4:$C$8,MATCH(B11,'TDR Rate Card'!$A$4:$A$8,0)))</f>
        <v/>
      </c>
      <c r="G11" s="14">
        <f>IF('Settlement Data'!A11="","",E11+F11)</f>
        <v/>
      </c>
      <c r="H11" s="12">
        <f>IF('Settlement Data'!A11="","",'Settlement Data'!E11)</f>
        <v/>
      </c>
      <c r="I11" s="12">
        <f>IF('Settlement Data'!A11="","",'Settlement Data'!F11)</f>
        <v/>
      </c>
      <c r="J11" s="14">
        <f>IF('Settlement Data'!A11="","",H11+I11)</f>
        <v/>
      </c>
      <c r="K11" s="14">
        <f>IF('Settlement Data'!A11="","",J11-G11)</f>
        <v/>
      </c>
      <c r="L11" s="6">
        <f>IF('Settlement Data'!A11="","",IF(K11&gt;0.5,"OVERCHARGED",IF(K11&lt;-0.5,"UNDERBILLED","MATCH")))</f>
        <v/>
      </c>
    </row>
    <row r="12">
      <c r="A12" s="11">
        <f>IF('Settlement Data'!A12="","",'Settlement Data'!A12)</f>
        <v/>
      </c>
      <c r="B12" s="11">
        <f>IF('Settlement Data'!A12="","",'Settlement Data'!C12)</f>
        <v/>
      </c>
      <c r="C12" s="12">
        <f>IF('Settlement Data'!A12="","",'Settlement Data'!D12)</f>
        <v/>
      </c>
      <c r="D12" s="13">
        <f>IF('Settlement Data'!A12="","",INDEX('TDR Rate Card'!$B$4:$B$8,MATCH(B12,'TDR Rate Card'!$A$4:$A$8,0)))</f>
        <v/>
      </c>
      <c r="E12" s="14">
        <f>IF('Settlement Data'!A12="","",C12*D12)</f>
        <v/>
      </c>
      <c r="F12" s="12">
        <f>IF('Settlement Data'!A12="","",E12*INDEX('TDR Rate Card'!$C$4:$C$8,MATCH(B12,'TDR Rate Card'!$A$4:$A$8,0)))</f>
        <v/>
      </c>
      <c r="G12" s="14">
        <f>IF('Settlement Data'!A12="","",E12+F12)</f>
        <v/>
      </c>
      <c r="H12" s="12">
        <f>IF('Settlement Data'!A12="","",'Settlement Data'!E12)</f>
        <v/>
      </c>
      <c r="I12" s="12">
        <f>IF('Settlement Data'!A12="","",'Settlement Data'!F12)</f>
        <v/>
      </c>
      <c r="J12" s="14">
        <f>IF('Settlement Data'!A12="","",H12+I12)</f>
        <v/>
      </c>
      <c r="K12" s="14">
        <f>IF('Settlement Data'!A12="","",J12-G12)</f>
        <v/>
      </c>
      <c r="L12" s="6">
        <f>IF('Settlement Data'!A12="","",IF(K12&gt;0.5,"OVERCHARGED",IF(K12&lt;-0.5,"UNDERBILLED","MATCH")))</f>
        <v/>
      </c>
    </row>
    <row r="13">
      <c r="A13" s="11">
        <f>IF('Settlement Data'!A13="","",'Settlement Data'!A13)</f>
        <v/>
      </c>
      <c r="B13" s="11">
        <f>IF('Settlement Data'!A13="","",'Settlement Data'!C13)</f>
        <v/>
      </c>
      <c r="C13" s="12">
        <f>IF('Settlement Data'!A13="","",'Settlement Data'!D13)</f>
        <v/>
      </c>
      <c r="D13" s="13">
        <f>IF('Settlement Data'!A13="","",INDEX('TDR Rate Card'!$B$4:$B$8,MATCH(B13,'TDR Rate Card'!$A$4:$A$8,0)))</f>
        <v/>
      </c>
      <c r="E13" s="14">
        <f>IF('Settlement Data'!A13="","",C13*D13)</f>
        <v/>
      </c>
      <c r="F13" s="12">
        <f>IF('Settlement Data'!A13="","",E13*INDEX('TDR Rate Card'!$C$4:$C$8,MATCH(B13,'TDR Rate Card'!$A$4:$A$8,0)))</f>
        <v/>
      </c>
      <c r="G13" s="14">
        <f>IF('Settlement Data'!A13="","",E13+F13)</f>
        <v/>
      </c>
      <c r="H13" s="12">
        <f>IF('Settlement Data'!A13="","",'Settlement Data'!E13)</f>
        <v/>
      </c>
      <c r="I13" s="12">
        <f>IF('Settlement Data'!A13="","",'Settlement Data'!F13)</f>
        <v/>
      </c>
      <c r="J13" s="14">
        <f>IF('Settlement Data'!A13="","",H13+I13)</f>
        <v/>
      </c>
      <c r="K13" s="14">
        <f>IF('Settlement Data'!A13="","",J13-G13)</f>
        <v/>
      </c>
      <c r="L13" s="6">
        <f>IF('Settlement Data'!A13="","",IF(K13&gt;0.5,"OVERCHARGED",IF(K13&lt;-0.5,"UNDERBILLED","MATCH")))</f>
        <v/>
      </c>
    </row>
    <row r="14">
      <c r="A14" s="11">
        <f>IF('Settlement Data'!A14="","",'Settlement Data'!A14)</f>
        <v/>
      </c>
      <c r="B14" s="11">
        <f>IF('Settlement Data'!A14="","",'Settlement Data'!C14)</f>
        <v/>
      </c>
      <c r="C14" s="12">
        <f>IF('Settlement Data'!A14="","",'Settlement Data'!D14)</f>
        <v/>
      </c>
      <c r="D14" s="13">
        <f>IF('Settlement Data'!A14="","",INDEX('TDR Rate Card'!$B$4:$B$8,MATCH(B14,'TDR Rate Card'!$A$4:$A$8,0)))</f>
        <v/>
      </c>
      <c r="E14" s="14">
        <f>IF('Settlement Data'!A14="","",C14*D14)</f>
        <v/>
      </c>
      <c r="F14" s="12">
        <f>IF('Settlement Data'!A14="","",E14*INDEX('TDR Rate Card'!$C$4:$C$8,MATCH(B14,'TDR Rate Card'!$A$4:$A$8,0)))</f>
        <v/>
      </c>
      <c r="G14" s="14">
        <f>IF('Settlement Data'!A14="","",E14+F14)</f>
        <v/>
      </c>
      <c r="H14" s="12">
        <f>IF('Settlement Data'!A14="","",'Settlement Data'!E14)</f>
        <v/>
      </c>
      <c r="I14" s="12">
        <f>IF('Settlement Data'!A14="","",'Settlement Data'!F14)</f>
        <v/>
      </c>
      <c r="J14" s="14">
        <f>IF('Settlement Data'!A14="","",H14+I14)</f>
        <v/>
      </c>
      <c r="K14" s="14">
        <f>IF('Settlement Data'!A14="","",J14-G14)</f>
        <v/>
      </c>
      <c r="L14" s="6">
        <f>IF('Settlement Data'!A14="","",IF(K14&gt;0.5,"OVERCHARGED",IF(K14&lt;-0.5,"UNDERBILLED","MATCH")))</f>
        <v/>
      </c>
    </row>
    <row r="15">
      <c r="A15" s="11">
        <f>IF('Settlement Data'!A15="","",'Settlement Data'!A15)</f>
        <v/>
      </c>
      <c r="B15" s="11">
        <f>IF('Settlement Data'!A15="","",'Settlement Data'!C15)</f>
        <v/>
      </c>
      <c r="C15" s="12">
        <f>IF('Settlement Data'!A15="","",'Settlement Data'!D15)</f>
        <v/>
      </c>
      <c r="D15" s="13">
        <f>IF('Settlement Data'!A15="","",INDEX('TDR Rate Card'!$B$4:$B$8,MATCH(B15,'TDR Rate Card'!$A$4:$A$8,0)))</f>
        <v/>
      </c>
      <c r="E15" s="14">
        <f>IF('Settlement Data'!A15="","",C15*D15)</f>
        <v/>
      </c>
      <c r="F15" s="12">
        <f>IF('Settlement Data'!A15="","",E15*INDEX('TDR Rate Card'!$C$4:$C$8,MATCH(B15,'TDR Rate Card'!$A$4:$A$8,0)))</f>
        <v/>
      </c>
      <c r="G15" s="14">
        <f>IF('Settlement Data'!A15="","",E15+F15)</f>
        <v/>
      </c>
      <c r="H15" s="12">
        <f>IF('Settlement Data'!A15="","",'Settlement Data'!E15)</f>
        <v/>
      </c>
      <c r="I15" s="12">
        <f>IF('Settlement Data'!A15="","",'Settlement Data'!F15)</f>
        <v/>
      </c>
      <c r="J15" s="14">
        <f>IF('Settlement Data'!A15="","",H15+I15)</f>
        <v/>
      </c>
      <c r="K15" s="14">
        <f>IF('Settlement Data'!A15="","",J15-G15)</f>
        <v/>
      </c>
      <c r="L15" s="6">
        <f>IF('Settlement Data'!A15="","",IF(K15&gt;0.5,"OVERCHARGED",IF(K15&lt;-0.5,"UNDERBILLED","MATCH")))</f>
        <v/>
      </c>
    </row>
    <row r="16">
      <c r="A16" s="11">
        <f>IF('Settlement Data'!A16="","",'Settlement Data'!A16)</f>
        <v/>
      </c>
      <c r="B16" s="11">
        <f>IF('Settlement Data'!A16="","",'Settlement Data'!C16)</f>
        <v/>
      </c>
      <c r="C16" s="12">
        <f>IF('Settlement Data'!A16="","",'Settlement Data'!D16)</f>
        <v/>
      </c>
      <c r="D16" s="13">
        <f>IF('Settlement Data'!A16="","",INDEX('TDR Rate Card'!$B$4:$B$8,MATCH(B16,'TDR Rate Card'!$A$4:$A$8,0)))</f>
        <v/>
      </c>
      <c r="E16" s="14">
        <f>IF('Settlement Data'!A16="","",C16*D16)</f>
        <v/>
      </c>
      <c r="F16" s="12">
        <f>IF('Settlement Data'!A16="","",E16*INDEX('TDR Rate Card'!$C$4:$C$8,MATCH(B16,'TDR Rate Card'!$A$4:$A$8,0)))</f>
        <v/>
      </c>
      <c r="G16" s="14">
        <f>IF('Settlement Data'!A16="","",E16+F16)</f>
        <v/>
      </c>
      <c r="H16" s="12">
        <f>IF('Settlement Data'!A16="","",'Settlement Data'!E16)</f>
        <v/>
      </c>
      <c r="I16" s="12">
        <f>IF('Settlement Data'!A16="","",'Settlement Data'!F16)</f>
        <v/>
      </c>
      <c r="J16" s="14">
        <f>IF('Settlement Data'!A16="","",H16+I16)</f>
        <v/>
      </c>
      <c r="K16" s="14">
        <f>IF('Settlement Data'!A16="","",J16-G16)</f>
        <v/>
      </c>
      <c r="L16" s="6">
        <f>IF('Settlement Data'!A16="","",IF(K16&gt;0.5,"OVERCHARGED",IF(K16&lt;-0.5,"UNDERBILLED","MATCH")))</f>
        <v/>
      </c>
    </row>
    <row r="17">
      <c r="A17" s="11">
        <f>IF('Settlement Data'!A17="","",'Settlement Data'!A17)</f>
        <v/>
      </c>
      <c r="B17" s="11">
        <f>IF('Settlement Data'!A17="","",'Settlement Data'!C17)</f>
        <v/>
      </c>
      <c r="C17" s="12">
        <f>IF('Settlement Data'!A17="","",'Settlement Data'!D17)</f>
        <v/>
      </c>
      <c r="D17" s="13">
        <f>IF('Settlement Data'!A17="","",INDEX('TDR Rate Card'!$B$4:$B$8,MATCH(B17,'TDR Rate Card'!$A$4:$A$8,0)))</f>
        <v/>
      </c>
      <c r="E17" s="14">
        <f>IF('Settlement Data'!A17="","",C17*D17)</f>
        <v/>
      </c>
      <c r="F17" s="12">
        <f>IF('Settlement Data'!A17="","",E17*INDEX('TDR Rate Card'!$C$4:$C$8,MATCH(B17,'TDR Rate Card'!$A$4:$A$8,0)))</f>
        <v/>
      </c>
      <c r="G17" s="14">
        <f>IF('Settlement Data'!A17="","",E17+F17)</f>
        <v/>
      </c>
      <c r="H17" s="12">
        <f>IF('Settlement Data'!A17="","",'Settlement Data'!E17)</f>
        <v/>
      </c>
      <c r="I17" s="12">
        <f>IF('Settlement Data'!A17="","",'Settlement Data'!F17)</f>
        <v/>
      </c>
      <c r="J17" s="14">
        <f>IF('Settlement Data'!A17="","",H17+I17)</f>
        <v/>
      </c>
      <c r="K17" s="14">
        <f>IF('Settlement Data'!A17="","",J17-G17)</f>
        <v/>
      </c>
      <c r="L17" s="6">
        <f>IF('Settlement Data'!A17="","",IF(K17&gt;0.5,"OVERCHARGED",IF(K17&lt;-0.5,"UNDERBILLED","MATCH")))</f>
        <v/>
      </c>
    </row>
    <row r="18">
      <c r="A18" s="11">
        <f>IF('Settlement Data'!A18="","",'Settlement Data'!A18)</f>
        <v/>
      </c>
      <c r="B18" s="11">
        <f>IF('Settlement Data'!A18="","",'Settlement Data'!C18)</f>
        <v/>
      </c>
      <c r="C18" s="12">
        <f>IF('Settlement Data'!A18="","",'Settlement Data'!D18)</f>
        <v/>
      </c>
      <c r="D18" s="13">
        <f>IF('Settlement Data'!A18="","",INDEX('TDR Rate Card'!$B$4:$B$8,MATCH(B18,'TDR Rate Card'!$A$4:$A$8,0)))</f>
        <v/>
      </c>
      <c r="E18" s="14">
        <f>IF('Settlement Data'!A18="","",C18*D18)</f>
        <v/>
      </c>
      <c r="F18" s="12">
        <f>IF('Settlement Data'!A18="","",E18*INDEX('TDR Rate Card'!$C$4:$C$8,MATCH(B18,'TDR Rate Card'!$A$4:$A$8,0)))</f>
        <v/>
      </c>
      <c r="G18" s="14">
        <f>IF('Settlement Data'!A18="","",E18+F18)</f>
        <v/>
      </c>
      <c r="H18" s="12">
        <f>IF('Settlement Data'!A18="","",'Settlement Data'!E18)</f>
        <v/>
      </c>
      <c r="I18" s="12">
        <f>IF('Settlement Data'!A18="","",'Settlement Data'!F18)</f>
        <v/>
      </c>
      <c r="J18" s="14">
        <f>IF('Settlement Data'!A18="","",H18+I18)</f>
        <v/>
      </c>
      <c r="K18" s="14">
        <f>IF('Settlement Data'!A18="","",J18-G18)</f>
        <v/>
      </c>
      <c r="L18" s="6">
        <f>IF('Settlement Data'!A18="","",IF(K18&gt;0.5,"OVERCHARGED",IF(K18&lt;-0.5,"UNDERBILLED","MATCH")))</f>
        <v/>
      </c>
    </row>
    <row r="19">
      <c r="A19" s="11">
        <f>IF('Settlement Data'!A19="","",'Settlement Data'!A19)</f>
        <v/>
      </c>
      <c r="B19" s="11">
        <f>IF('Settlement Data'!A19="","",'Settlement Data'!C19)</f>
        <v/>
      </c>
      <c r="C19" s="12">
        <f>IF('Settlement Data'!A19="","",'Settlement Data'!D19)</f>
        <v/>
      </c>
      <c r="D19" s="13">
        <f>IF('Settlement Data'!A19="","",INDEX('TDR Rate Card'!$B$4:$B$8,MATCH(B19,'TDR Rate Card'!$A$4:$A$8,0)))</f>
        <v/>
      </c>
      <c r="E19" s="14">
        <f>IF('Settlement Data'!A19="","",C19*D19)</f>
        <v/>
      </c>
      <c r="F19" s="12">
        <f>IF('Settlement Data'!A19="","",E19*INDEX('TDR Rate Card'!$C$4:$C$8,MATCH(B19,'TDR Rate Card'!$A$4:$A$8,0)))</f>
        <v/>
      </c>
      <c r="G19" s="14">
        <f>IF('Settlement Data'!A19="","",E19+F19)</f>
        <v/>
      </c>
      <c r="H19" s="12">
        <f>IF('Settlement Data'!A19="","",'Settlement Data'!E19)</f>
        <v/>
      </c>
      <c r="I19" s="12">
        <f>IF('Settlement Data'!A19="","",'Settlement Data'!F19)</f>
        <v/>
      </c>
      <c r="J19" s="14">
        <f>IF('Settlement Data'!A19="","",H19+I19)</f>
        <v/>
      </c>
      <c r="K19" s="14">
        <f>IF('Settlement Data'!A19="","",J19-G19)</f>
        <v/>
      </c>
      <c r="L19" s="6">
        <f>IF('Settlement Data'!A19="","",IF(K19&gt;0.5,"OVERCHARGED",IF(K19&lt;-0.5,"UNDERBILLED","MATCH")))</f>
        <v/>
      </c>
    </row>
    <row r="20">
      <c r="A20" s="11">
        <f>IF('Settlement Data'!A20="","",'Settlement Data'!A20)</f>
        <v/>
      </c>
      <c r="B20" s="11">
        <f>IF('Settlement Data'!A20="","",'Settlement Data'!C20)</f>
        <v/>
      </c>
      <c r="C20" s="12">
        <f>IF('Settlement Data'!A20="","",'Settlement Data'!D20)</f>
        <v/>
      </c>
      <c r="D20" s="13">
        <f>IF('Settlement Data'!A20="","",INDEX('TDR Rate Card'!$B$4:$B$8,MATCH(B20,'TDR Rate Card'!$A$4:$A$8,0)))</f>
        <v/>
      </c>
      <c r="E20" s="14">
        <f>IF('Settlement Data'!A20="","",C20*D20)</f>
        <v/>
      </c>
      <c r="F20" s="12">
        <f>IF('Settlement Data'!A20="","",E20*INDEX('TDR Rate Card'!$C$4:$C$8,MATCH(B20,'TDR Rate Card'!$A$4:$A$8,0)))</f>
        <v/>
      </c>
      <c r="G20" s="14">
        <f>IF('Settlement Data'!A20="","",E20+F20)</f>
        <v/>
      </c>
      <c r="H20" s="12">
        <f>IF('Settlement Data'!A20="","",'Settlement Data'!E20)</f>
        <v/>
      </c>
      <c r="I20" s="12">
        <f>IF('Settlement Data'!A20="","",'Settlement Data'!F20)</f>
        <v/>
      </c>
      <c r="J20" s="14">
        <f>IF('Settlement Data'!A20="","",H20+I20)</f>
        <v/>
      </c>
      <c r="K20" s="14">
        <f>IF('Settlement Data'!A20="","",J20-G20)</f>
        <v/>
      </c>
      <c r="L20" s="6">
        <f>IF('Settlement Data'!A20="","",IF(K20&gt;0.5,"OVERCHARGED",IF(K20&lt;-0.5,"UNDERBILLED","MATCH")))</f>
        <v/>
      </c>
    </row>
    <row r="21">
      <c r="A21" s="11">
        <f>IF('Settlement Data'!A21="","",'Settlement Data'!A21)</f>
        <v/>
      </c>
      <c r="B21" s="11">
        <f>IF('Settlement Data'!A21="","",'Settlement Data'!C21)</f>
        <v/>
      </c>
      <c r="C21" s="12">
        <f>IF('Settlement Data'!A21="","",'Settlement Data'!D21)</f>
        <v/>
      </c>
      <c r="D21" s="13">
        <f>IF('Settlement Data'!A21="","",INDEX('TDR Rate Card'!$B$4:$B$8,MATCH(B21,'TDR Rate Card'!$A$4:$A$8,0)))</f>
        <v/>
      </c>
      <c r="E21" s="14">
        <f>IF('Settlement Data'!A21="","",C21*D21)</f>
        <v/>
      </c>
      <c r="F21" s="12">
        <f>IF('Settlement Data'!A21="","",E21*INDEX('TDR Rate Card'!$C$4:$C$8,MATCH(B21,'TDR Rate Card'!$A$4:$A$8,0)))</f>
        <v/>
      </c>
      <c r="G21" s="14">
        <f>IF('Settlement Data'!A21="","",E21+F21)</f>
        <v/>
      </c>
      <c r="H21" s="12">
        <f>IF('Settlement Data'!A21="","",'Settlement Data'!E21)</f>
        <v/>
      </c>
      <c r="I21" s="12">
        <f>IF('Settlement Data'!A21="","",'Settlement Data'!F21)</f>
        <v/>
      </c>
      <c r="J21" s="14">
        <f>IF('Settlement Data'!A21="","",H21+I21)</f>
        <v/>
      </c>
      <c r="K21" s="14">
        <f>IF('Settlement Data'!A21="","",J21-G21)</f>
        <v/>
      </c>
      <c r="L21" s="6">
        <f>IF('Settlement Data'!A21="","",IF(K21&gt;0.5,"OVERCHARGED",IF(K21&lt;-0.5,"UNDERBILLED","MATCH")))</f>
        <v/>
      </c>
    </row>
    <row r="22">
      <c r="A22" s="11">
        <f>IF('Settlement Data'!A22="","",'Settlement Data'!A22)</f>
        <v/>
      </c>
      <c r="B22" s="11">
        <f>IF('Settlement Data'!A22="","",'Settlement Data'!C22)</f>
        <v/>
      </c>
      <c r="C22" s="12">
        <f>IF('Settlement Data'!A22="","",'Settlement Data'!D22)</f>
        <v/>
      </c>
      <c r="D22" s="13">
        <f>IF('Settlement Data'!A22="","",INDEX('TDR Rate Card'!$B$4:$B$8,MATCH(B22,'TDR Rate Card'!$A$4:$A$8,0)))</f>
        <v/>
      </c>
      <c r="E22" s="14">
        <f>IF('Settlement Data'!A22="","",C22*D22)</f>
        <v/>
      </c>
      <c r="F22" s="12">
        <f>IF('Settlement Data'!A22="","",E22*INDEX('TDR Rate Card'!$C$4:$C$8,MATCH(B22,'TDR Rate Card'!$A$4:$A$8,0)))</f>
        <v/>
      </c>
      <c r="G22" s="14">
        <f>IF('Settlement Data'!A22="","",E22+F22)</f>
        <v/>
      </c>
      <c r="H22" s="12">
        <f>IF('Settlement Data'!A22="","",'Settlement Data'!E22)</f>
        <v/>
      </c>
      <c r="I22" s="12">
        <f>IF('Settlement Data'!A22="","",'Settlement Data'!F22)</f>
        <v/>
      </c>
      <c r="J22" s="14">
        <f>IF('Settlement Data'!A22="","",H22+I22)</f>
        <v/>
      </c>
      <c r="K22" s="14">
        <f>IF('Settlement Data'!A22="","",J22-G22)</f>
        <v/>
      </c>
      <c r="L22" s="6">
        <f>IF('Settlement Data'!A22="","",IF(K22&gt;0.5,"OVERCHARGED",IF(K22&lt;-0.5,"UNDERBILLED","MATCH")))</f>
        <v/>
      </c>
    </row>
    <row r="23">
      <c r="A23" s="11">
        <f>IF('Settlement Data'!A23="","",'Settlement Data'!A23)</f>
        <v/>
      </c>
      <c r="B23" s="11">
        <f>IF('Settlement Data'!A23="","",'Settlement Data'!C23)</f>
        <v/>
      </c>
      <c r="C23" s="12">
        <f>IF('Settlement Data'!A23="","",'Settlement Data'!D23)</f>
        <v/>
      </c>
      <c r="D23" s="13">
        <f>IF('Settlement Data'!A23="","",INDEX('TDR Rate Card'!$B$4:$B$8,MATCH(B23,'TDR Rate Card'!$A$4:$A$8,0)))</f>
        <v/>
      </c>
      <c r="E23" s="14">
        <f>IF('Settlement Data'!A23="","",C23*D23)</f>
        <v/>
      </c>
      <c r="F23" s="12">
        <f>IF('Settlement Data'!A23="","",E23*INDEX('TDR Rate Card'!$C$4:$C$8,MATCH(B23,'TDR Rate Card'!$A$4:$A$8,0)))</f>
        <v/>
      </c>
      <c r="G23" s="14">
        <f>IF('Settlement Data'!A23="","",E23+F23)</f>
        <v/>
      </c>
      <c r="H23" s="12">
        <f>IF('Settlement Data'!A23="","",'Settlement Data'!E23)</f>
        <v/>
      </c>
      <c r="I23" s="12">
        <f>IF('Settlement Data'!A23="","",'Settlement Data'!F23)</f>
        <v/>
      </c>
      <c r="J23" s="14">
        <f>IF('Settlement Data'!A23="","",H23+I23)</f>
        <v/>
      </c>
      <c r="K23" s="14">
        <f>IF('Settlement Data'!A23="","",J23-G23)</f>
        <v/>
      </c>
      <c r="L23" s="6">
        <f>IF('Settlement Data'!A23="","",IF(K23&gt;0.5,"OVERCHARGED",IF(K23&lt;-0.5,"UNDERBILLED","MATCH")))</f>
        <v/>
      </c>
    </row>
    <row r="24">
      <c r="A24" s="11">
        <f>IF('Settlement Data'!A24="","",'Settlement Data'!A24)</f>
        <v/>
      </c>
      <c r="B24" s="11">
        <f>IF('Settlement Data'!A24="","",'Settlement Data'!C24)</f>
        <v/>
      </c>
      <c r="C24" s="12">
        <f>IF('Settlement Data'!A24="","",'Settlement Data'!D24)</f>
        <v/>
      </c>
      <c r="D24" s="13">
        <f>IF('Settlement Data'!A24="","",INDEX('TDR Rate Card'!$B$4:$B$8,MATCH(B24,'TDR Rate Card'!$A$4:$A$8,0)))</f>
        <v/>
      </c>
      <c r="E24" s="14">
        <f>IF('Settlement Data'!A24="","",C24*D24)</f>
        <v/>
      </c>
      <c r="F24" s="12">
        <f>IF('Settlement Data'!A24="","",E24*INDEX('TDR Rate Card'!$C$4:$C$8,MATCH(B24,'TDR Rate Card'!$A$4:$A$8,0)))</f>
        <v/>
      </c>
      <c r="G24" s="14">
        <f>IF('Settlement Data'!A24="","",E24+F24)</f>
        <v/>
      </c>
      <c r="H24" s="12">
        <f>IF('Settlement Data'!A24="","",'Settlement Data'!E24)</f>
        <v/>
      </c>
      <c r="I24" s="12">
        <f>IF('Settlement Data'!A24="","",'Settlement Data'!F24)</f>
        <v/>
      </c>
      <c r="J24" s="14">
        <f>IF('Settlement Data'!A24="","",H24+I24)</f>
        <v/>
      </c>
      <c r="K24" s="14">
        <f>IF('Settlement Data'!A24="","",J24-G24)</f>
        <v/>
      </c>
      <c r="L24" s="6">
        <f>IF('Settlement Data'!A24="","",IF(K24&gt;0.5,"OVERCHARGED",IF(K24&lt;-0.5,"UNDERBILLED","MATCH")))</f>
        <v/>
      </c>
    </row>
    <row r="25">
      <c r="A25" s="11">
        <f>IF('Settlement Data'!A25="","",'Settlement Data'!A25)</f>
        <v/>
      </c>
      <c r="B25" s="11">
        <f>IF('Settlement Data'!A25="","",'Settlement Data'!C25)</f>
        <v/>
      </c>
      <c r="C25" s="12">
        <f>IF('Settlement Data'!A25="","",'Settlement Data'!D25)</f>
        <v/>
      </c>
      <c r="D25" s="13">
        <f>IF('Settlement Data'!A25="","",INDEX('TDR Rate Card'!$B$4:$B$8,MATCH(B25,'TDR Rate Card'!$A$4:$A$8,0)))</f>
        <v/>
      </c>
      <c r="E25" s="14">
        <f>IF('Settlement Data'!A25="","",C25*D25)</f>
        <v/>
      </c>
      <c r="F25" s="12">
        <f>IF('Settlement Data'!A25="","",E25*INDEX('TDR Rate Card'!$C$4:$C$8,MATCH(B25,'TDR Rate Card'!$A$4:$A$8,0)))</f>
        <v/>
      </c>
      <c r="G25" s="14">
        <f>IF('Settlement Data'!A25="","",E25+F25)</f>
        <v/>
      </c>
      <c r="H25" s="12">
        <f>IF('Settlement Data'!A25="","",'Settlement Data'!E25)</f>
        <v/>
      </c>
      <c r="I25" s="12">
        <f>IF('Settlement Data'!A25="","",'Settlement Data'!F25)</f>
        <v/>
      </c>
      <c r="J25" s="14">
        <f>IF('Settlement Data'!A25="","",H25+I25)</f>
        <v/>
      </c>
      <c r="K25" s="14">
        <f>IF('Settlement Data'!A25="","",J25-G25)</f>
        <v/>
      </c>
      <c r="L25" s="6">
        <f>IF('Settlement Data'!A25="","",IF(K25&gt;0.5,"OVERCHARGED",IF(K25&lt;-0.5,"UNDERBILLED","MATCH")))</f>
        <v/>
      </c>
    </row>
    <row r="26">
      <c r="A26" s="11">
        <f>IF('Settlement Data'!A26="","",'Settlement Data'!A26)</f>
        <v/>
      </c>
      <c r="B26" s="11">
        <f>IF('Settlement Data'!A26="","",'Settlement Data'!C26)</f>
        <v/>
      </c>
      <c r="C26" s="12">
        <f>IF('Settlement Data'!A26="","",'Settlement Data'!D26)</f>
        <v/>
      </c>
      <c r="D26" s="13">
        <f>IF('Settlement Data'!A26="","",INDEX('TDR Rate Card'!$B$4:$B$8,MATCH(B26,'TDR Rate Card'!$A$4:$A$8,0)))</f>
        <v/>
      </c>
      <c r="E26" s="14">
        <f>IF('Settlement Data'!A26="","",C26*D26)</f>
        <v/>
      </c>
      <c r="F26" s="12">
        <f>IF('Settlement Data'!A26="","",E26*INDEX('TDR Rate Card'!$C$4:$C$8,MATCH(B26,'TDR Rate Card'!$A$4:$A$8,0)))</f>
        <v/>
      </c>
      <c r="G26" s="14">
        <f>IF('Settlement Data'!A26="","",E26+F26)</f>
        <v/>
      </c>
      <c r="H26" s="12">
        <f>IF('Settlement Data'!A26="","",'Settlement Data'!E26)</f>
        <v/>
      </c>
      <c r="I26" s="12">
        <f>IF('Settlement Data'!A26="","",'Settlement Data'!F26)</f>
        <v/>
      </c>
      <c r="J26" s="14">
        <f>IF('Settlement Data'!A26="","",H26+I26)</f>
        <v/>
      </c>
      <c r="K26" s="14">
        <f>IF('Settlement Data'!A26="","",J26-G26)</f>
        <v/>
      </c>
      <c r="L26" s="6">
        <f>IF('Settlement Data'!A26="","",IF(K26&gt;0.5,"OVERCHARGED",IF(K26&lt;-0.5,"UNDERBILLED","MATCH")))</f>
        <v/>
      </c>
    </row>
    <row r="27">
      <c r="A27" s="11">
        <f>IF('Settlement Data'!A27="","",'Settlement Data'!A27)</f>
        <v/>
      </c>
      <c r="B27" s="11">
        <f>IF('Settlement Data'!A27="","",'Settlement Data'!C27)</f>
        <v/>
      </c>
      <c r="C27" s="12">
        <f>IF('Settlement Data'!A27="","",'Settlement Data'!D27)</f>
        <v/>
      </c>
      <c r="D27" s="13">
        <f>IF('Settlement Data'!A27="","",INDEX('TDR Rate Card'!$B$4:$B$8,MATCH(B27,'TDR Rate Card'!$A$4:$A$8,0)))</f>
        <v/>
      </c>
      <c r="E27" s="14">
        <f>IF('Settlement Data'!A27="","",C27*D27)</f>
        <v/>
      </c>
      <c r="F27" s="12">
        <f>IF('Settlement Data'!A27="","",E27*INDEX('TDR Rate Card'!$C$4:$C$8,MATCH(B27,'TDR Rate Card'!$A$4:$A$8,0)))</f>
        <v/>
      </c>
      <c r="G27" s="14">
        <f>IF('Settlement Data'!A27="","",E27+F27)</f>
        <v/>
      </c>
      <c r="H27" s="12">
        <f>IF('Settlement Data'!A27="","",'Settlement Data'!E27)</f>
        <v/>
      </c>
      <c r="I27" s="12">
        <f>IF('Settlement Data'!A27="","",'Settlement Data'!F27)</f>
        <v/>
      </c>
      <c r="J27" s="14">
        <f>IF('Settlement Data'!A27="","",H27+I27)</f>
        <v/>
      </c>
      <c r="K27" s="14">
        <f>IF('Settlement Data'!A27="","",J27-G27)</f>
        <v/>
      </c>
      <c r="L27" s="6">
        <f>IF('Settlement Data'!A27="","",IF(K27&gt;0.5,"OVERCHARGED",IF(K27&lt;-0.5,"UNDERBILLED","MATCH")))</f>
        <v/>
      </c>
    </row>
    <row r="28">
      <c r="A28" s="11">
        <f>IF('Settlement Data'!A28="","",'Settlement Data'!A28)</f>
        <v/>
      </c>
      <c r="B28" s="11">
        <f>IF('Settlement Data'!A28="","",'Settlement Data'!C28)</f>
        <v/>
      </c>
      <c r="C28" s="12">
        <f>IF('Settlement Data'!A28="","",'Settlement Data'!D28)</f>
        <v/>
      </c>
      <c r="D28" s="13">
        <f>IF('Settlement Data'!A28="","",INDEX('TDR Rate Card'!$B$4:$B$8,MATCH(B28,'TDR Rate Card'!$A$4:$A$8,0)))</f>
        <v/>
      </c>
      <c r="E28" s="14">
        <f>IF('Settlement Data'!A28="","",C28*D28)</f>
        <v/>
      </c>
      <c r="F28" s="12">
        <f>IF('Settlement Data'!A28="","",E28*INDEX('TDR Rate Card'!$C$4:$C$8,MATCH(B28,'TDR Rate Card'!$A$4:$A$8,0)))</f>
        <v/>
      </c>
      <c r="G28" s="14">
        <f>IF('Settlement Data'!A28="","",E28+F28)</f>
        <v/>
      </c>
      <c r="H28" s="12">
        <f>IF('Settlement Data'!A28="","",'Settlement Data'!E28)</f>
        <v/>
      </c>
      <c r="I28" s="12">
        <f>IF('Settlement Data'!A28="","",'Settlement Data'!F28)</f>
        <v/>
      </c>
      <c r="J28" s="14">
        <f>IF('Settlement Data'!A28="","",H28+I28)</f>
        <v/>
      </c>
      <c r="K28" s="14">
        <f>IF('Settlement Data'!A28="","",J28-G28)</f>
        <v/>
      </c>
      <c r="L28" s="6">
        <f>IF('Settlement Data'!A28="","",IF(K28&gt;0.5,"OVERCHARGED",IF(K28&lt;-0.5,"UNDERBILLED","MATCH")))</f>
        <v/>
      </c>
    </row>
    <row r="29">
      <c r="A29" s="11">
        <f>IF('Settlement Data'!A29="","",'Settlement Data'!A29)</f>
        <v/>
      </c>
      <c r="B29" s="11">
        <f>IF('Settlement Data'!A29="","",'Settlement Data'!C29)</f>
        <v/>
      </c>
      <c r="C29" s="12">
        <f>IF('Settlement Data'!A29="","",'Settlement Data'!D29)</f>
        <v/>
      </c>
      <c r="D29" s="13">
        <f>IF('Settlement Data'!A29="","",INDEX('TDR Rate Card'!$B$4:$B$8,MATCH(B29,'TDR Rate Card'!$A$4:$A$8,0)))</f>
        <v/>
      </c>
      <c r="E29" s="14">
        <f>IF('Settlement Data'!A29="","",C29*D29)</f>
        <v/>
      </c>
      <c r="F29" s="12">
        <f>IF('Settlement Data'!A29="","",E29*INDEX('TDR Rate Card'!$C$4:$C$8,MATCH(B29,'TDR Rate Card'!$A$4:$A$8,0)))</f>
        <v/>
      </c>
      <c r="G29" s="14">
        <f>IF('Settlement Data'!A29="","",E29+F29)</f>
        <v/>
      </c>
      <c r="H29" s="12">
        <f>IF('Settlement Data'!A29="","",'Settlement Data'!E29)</f>
        <v/>
      </c>
      <c r="I29" s="12">
        <f>IF('Settlement Data'!A29="","",'Settlement Data'!F29)</f>
        <v/>
      </c>
      <c r="J29" s="14">
        <f>IF('Settlement Data'!A29="","",H29+I29)</f>
        <v/>
      </c>
      <c r="K29" s="14">
        <f>IF('Settlement Data'!A29="","",J29-G29)</f>
        <v/>
      </c>
      <c r="L29" s="6">
        <f>IF('Settlement Data'!A29="","",IF(K29&gt;0.5,"OVERCHARGED",IF(K29&lt;-0.5,"UNDERBILLED","MATCH")))</f>
        <v/>
      </c>
    </row>
    <row r="30">
      <c r="A30" s="11">
        <f>IF('Settlement Data'!A30="","",'Settlement Data'!A30)</f>
        <v/>
      </c>
      <c r="B30" s="11">
        <f>IF('Settlement Data'!A30="","",'Settlement Data'!C30)</f>
        <v/>
      </c>
      <c r="C30" s="12">
        <f>IF('Settlement Data'!A30="","",'Settlement Data'!D30)</f>
        <v/>
      </c>
      <c r="D30" s="13">
        <f>IF('Settlement Data'!A30="","",INDEX('TDR Rate Card'!$B$4:$B$8,MATCH(B30,'TDR Rate Card'!$A$4:$A$8,0)))</f>
        <v/>
      </c>
      <c r="E30" s="14">
        <f>IF('Settlement Data'!A30="","",C30*D30)</f>
        <v/>
      </c>
      <c r="F30" s="12">
        <f>IF('Settlement Data'!A30="","",E30*INDEX('TDR Rate Card'!$C$4:$C$8,MATCH(B30,'TDR Rate Card'!$A$4:$A$8,0)))</f>
        <v/>
      </c>
      <c r="G30" s="14">
        <f>IF('Settlement Data'!A30="","",E30+F30)</f>
        <v/>
      </c>
      <c r="H30" s="12">
        <f>IF('Settlement Data'!A30="","",'Settlement Data'!E30)</f>
        <v/>
      </c>
      <c r="I30" s="12">
        <f>IF('Settlement Data'!A30="","",'Settlement Data'!F30)</f>
        <v/>
      </c>
      <c r="J30" s="14">
        <f>IF('Settlement Data'!A30="","",H30+I30)</f>
        <v/>
      </c>
      <c r="K30" s="14">
        <f>IF('Settlement Data'!A30="","",J30-G30)</f>
        <v/>
      </c>
      <c r="L30" s="6">
        <f>IF('Settlement Data'!A30="","",IF(K30&gt;0.5,"OVERCHARGED",IF(K30&lt;-0.5,"UNDERBILLED","MATCH")))</f>
        <v/>
      </c>
    </row>
    <row r="31">
      <c r="A31" s="11">
        <f>IF('Settlement Data'!A31="","",'Settlement Data'!A31)</f>
        <v/>
      </c>
      <c r="B31" s="11">
        <f>IF('Settlement Data'!A31="","",'Settlement Data'!C31)</f>
        <v/>
      </c>
      <c r="C31" s="12">
        <f>IF('Settlement Data'!A31="","",'Settlement Data'!D31)</f>
        <v/>
      </c>
      <c r="D31" s="13">
        <f>IF('Settlement Data'!A31="","",INDEX('TDR Rate Card'!$B$4:$B$8,MATCH(B31,'TDR Rate Card'!$A$4:$A$8,0)))</f>
        <v/>
      </c>
      <c r="E31" s="14">
        <f>IF('Settlement Data'!A31="","",C31*D31)</f>
        <v/>
      </c>
      <c r="F31" s="12">
        <f>IF('Settlement Data'!A31="","",E31*INDEX('TDR Rate Card'!$C$4:$C$8,MATCH(B31,'TDR Rate Card'!$A$4:$A$8,0)))</f>
        <v/>
      </c>
      <c r="G31" s="14">
        <f>IF('Settlement Data'!A31="","",E31+F31)</f>
        <v/>
      </c>
      <c r="H31" s="12">
        <f>IF('Settlement Data'!A31="","",'Settlement Data'!E31)</f>
        <v/>
      </c>
      <c r="I31" s="12">
        <f>IF('Settlement Data'!A31="","",'Settlement Data'!F31)</f>
        <v/>
      </c>
      <c r="J31" s="14">
        <f>IF('Settlement Data'!A31="","",H31+I31)</f>
        <v/>
      </c>
      <c r="K31" s="14">
        <f>IF('Settlement Data'!A31="","",J31-G31)</f>
        <v/>
      </c>
      <c r="L31" s="6">
        <f>IF('Settlement Data'!A31="","",IF(K31&gt;0.5,"OVERCHARGED",IF(K31&lt;-0.5,"UNDERBILLED","MATCH")))</f>
        <v/>
      </c>
    </row>
    <row r="32">
      <c r="A32" s="11">
        <f>IF('Settlement Data'!A32="","",'Settlement Data'!A32)</f>
        <v/>
      </c>
      <c r="B32" s="11">
        <f>IF('Settlement Data'!A32="","",'Settlement Data'!C32)</f>
        <v/>
      </c>
      <c r="C32" s="12">
        <f>IF('Settlement Data'!A32="","",'Settlement Data'!D32)</f>
        <v/>
      </c>
      <c r="D32" s="13">
        <f>IF('Settlement Data'!A32="","",INDEX('TDR Rate Card'!$B$4:$B$8,MATCH(B32,'TDR Rate Card'!$A$4:$A$8,0)))</f>
        <v/>
      </c>
      <c r="E32" s="14">
        <f>IF('Settlement Data'!A32="","",C32*D32)</f>
        <v/>
      </c>
      <c r="F32" s="12">
        <f>IF('Settlement Data'!A32="","",E32*INDEX('TDR Rate Card'!$C$4:$C$8,MATCH(B32,'TDR Rate Card'!$A$4:$A$8,0)))</f>
        <v/>
      </c>
      <c r="G32" s="14">
        <f>IF('Settlement Data'!A32="","",E32+F32)</f>
        <v/>
      </c>
      <c r="H32" s="12">
        <f>IF('Settlement Data'!A32="","",'Settlement Data'!E32)</f>
        <v/>
      </c>
      <c r="I32" s="12">
        <f>IF('Settlement Data'!A32="","",'Settlement Data'!F32)</f>
        <v/>
      </c>
      <c r="J32" s="14">
        <f>IF('Settlement Data'!A32="","",H32+I32)</f>
        <v/>
      </c>
      <c r="K32" s="14">
        <f>IF('Settlement Data'!A32="","",J32-G32)</f>
        <v/>
      </c>
      <c r="L32" s="6">
        <f>IF('Settlement Data'!A32="","",IF(K32&gt;0.5,"OVERCHARGED",IF(K32&lt;-0.5,"UNDERBILLED","MATCH")))</f>
        <v/>
      </c>
    </row>
    <row r="33">
      <c r="A33" s="11">
        <f>IF('Settlement Data'!A33="","",'Settlement Data'!A33)</f>
        <v/>
      </c>
      <c r="B33" s="11">
        <f>IF('Settlement Data'!A33="","",'Settlement Data'!C33)</f>
        <v/>
      </c>
      <c r="C33" s="12">
        <f>IF('Settlement Data'!A33="","",'Settlement Data'!D33)</f>
        <v/>
      </c>
      <c r="D33" s="13">
        <f>IF('Settlement Data'!A33="","",INDEX('TDR Rate Card'!$B$4:$B$8,MATCH(B33,'TDR Rate Card'!$A$4:$A$8,0)))</f>
        <v/>
      </c>
      <c r="E33" s="14">
        <f>IF('Settlement Data'!A33="","",C33*D33)</f>
        <v/>
      </c>
      <c r="F33" s="12">
        <f>IF('Settlement Data'!A33="","",E33*INDEX('TDR Rate Card'!$C$4:$C$8,MATCH(B33,'TDR Rate Card'!$A$4:$A$8,0)))</f>
        <v/>
      </c>
      <c r="G33" s="14">
        <f>IF('Settlement Data'!A33="","",E33+F33)</f>
        <v/>
      </c>
      <c r="H33" s="12">
        <f>IF('Settlement Data'!A33="","",'Settlement Data'!E33)</f>
        <v/>
      </c>
      <c r="I33" s="12">
        <f>IF('Settlement Data'!A33="","",'Settlement Data'!F33)</f>
        <v/>
      </c>
      <c r="J33" s="14">
        <f>IF('Settlement Data'!A33="","",H33+I33)</f>
        <v/>
      </c>
      <c r="K33" s="14">
        <f>IF('Settlement Data'!A33="","",J33-G33)</f>
        <v/>
      </c>
      <c r="L33" s="6">
        <f>IF('Settlement Data'!A33="","",IF(K33&gt;0.5,"OVERCHARGED",IF(K33&lt;-0.5,"UNDERBILLED","MATCH")))</f>
        <v/>
      </c>
    </row>
    <row r="34">
      <c r="A34" s="11">
        <f>IF('Settlement Data'!A34="","",'Settlement Data'!A34)</f>
        <v/>
      </c>
      <c r="B34" s="11">
        <f>IF('Settlement Data'!A34="","",'Settlement Data'!C34)</f>
        <v/>
      </c>
      <c r="C34" s="12">
        <f>IF('Settlement Data'!A34="","",'Settlement Data'!D34)</f>
        <v/>
      </c>
      <c r="D34" s="13">
        <f>IF('Settlement Data'!A34="","",INDEX('TDR Rate Card'!$B$4:$B$8,MATCH(B34,'TDR Rate Card'!$A$4:$A$8,0)))</f>
        <v/>
      </c>
      <c r="E34" s="14">
        <f>IF('Settlement Data'!A34="","",C34*D34)</f>
        <v/>
      </c>
      <c r="F34" s="12">
        <f>IF('Settlement Data'!A34="","",E34*INDEX('TDR Rate Card'!$C$4:$C$8,MATCH(B34,'TDR Rate Card'!$A$4:$A$8,0)))</f>
        <v/>
      </c>
      <c r="G34" s="14">
        <f>IF('Settlement Data'!A34="","",E34+F34)</f>
        <v/>
      </c>
      <c r="H34" s="12">
        <f>IF('Settlement Data'!A34="","",'Settlement Data'!E34)</f>
        <v/>
      </c>
      <c r="I34" s="12">
        <f>IF('Settlement Data'!A34="","",'Settlement Data'!F34)</f>
        <v/>
      </c>
      <c r="J34" s="14">
        <f>IF('Settlement Data'!A34="","",H34+I34)</f>
        <v/>
      </c>
      <c r="K34" s="14">
        <f>IF('Settlement Data'!A34="","",J34-G34)</f>
        <v/>
      </c>
      <c r="L34" s="6">
        <f>IF('Settlement Data'!A34="","",IF(K34&gt;0.5,"OVERCHARGED",IF(K34&lt;-0.5,"UNDERBILLED","MATCH")))</f>
        <v/>
      </c>
    </row>
    <row r="35">
      <c r="A35" s="11">
        <f>IF('Settlement Data'!A35="","",'Settlement Data'!A35)</f>
        <v/>
      </c>
      <c r="B35" s="11">
        <f>IF('Settlement Data'!A35="","",'Settlement Data'!C35)</f>
        <v/>
      </c>
      <c r="C35" s="12">
        <f>IF('Settlement Data'!A35="","",'Settlement Data'!D35)</f>
        <v/>
      </c>
      <c r="D35" s="13">
        <f>IF('Settlement Data'!A35="","",INDEX('TDR Rate Card'!$B$4:$B$8,MATCH(B35,'TDR Rate Card'!$A$4:$A$8,0)))</f>
        <v/>
      </c>
      <c r="E35" s="14">
        <f>IF('Settlement Data'!A35="","",C35*D35)</f>
        <v/>
      </c>
      <c r="F35" s="12">
        <f>IF('Settlement Data'!A35="","",E35*INDEX('TDR Rate Card'!$C$4:$C$8,MATCH(B35,'TDR Rate Card'!$A$4:$A$8,0)))</f>
        <v/>
      </c>
      <c r="G35" s="14">
        <f>IF('Settlement Data'!A35="","",E35+F35)</f>
        <v/>
      </c>
      <c r="H35" s="12">
        <f>IF('Settlement Data'!A35="","",'Settlement Data'!E35)</f>
        <v/>
      </c>
      <c r="I35" s="12">
        <f>IF('Settlement Data'!A35="","",'Settlement Data'!F35)</f>
        <v/>
      </c>
      <c r="J35" s="14">
        <f>IF('Settlement Data'!A35="","",H35+I35)</f>
        <v/>
      </c>
      <c r="K35" s="14">
        <f>IF('Settlement Data'!A35="","",J35-G35)</f>
        <v/>
      </c>
      <c r="L35" s="6">
        <f>IF('Settlement Data'!A35="","",IF(K35&gt;0.5,"OVERCHARGED",IF(K35&lt;-0.5,"UNDERBILLED","MATCH")))</f>
        <v/>
      </c>
    </row>
    <row r="36">
      <c r="A36" s="11">
        <f>IF('Settlement Data'!A36="","",'Settlement Data'!A36)</f>
        <v/>
      </c>
      <c r="B36" s="11">
        <f>IF('Settlement Data'!A36="","",'Settlement Data'!C36)</f>
        <v/>
      </c>
      <c r="C36" s="12">
        <f>IF('Settlement Data'!A36="","",'Settlement Data'!D36)</f>
        <v/>
      </c>
      <c r="D36" s="13">
        <f>IF('Settlement Data'!A36="","",INDEX('TDR Rate Card'!$B$4:$B$8,MATCH(B36,'TDR Rate Card'!$A$4:$A$8,0)))</f>
        <v/>
      </c>
      <c r="E36" s="14">
        <f>IF('Settlement Data'!A36="","",C36*D36)</f>
        <v/>
      </c>
      <c r="F36" s="12">
        <f>IF('Settlement Data'!A36="","",E36*INDEX('TDR Rate Card'!$C$4:$C$8,MATCH(B36,'TDR Rate Card'!$A$4:$A$8,0)))</f>
        <v/>
      </c>
      <c r="G36" s="14">
        <f>IF('Settlement Data'!A36="","",E36+F36)</f>
        <v/>
      </c>
      <c r="H36" s="12">
        <f>IF('Settlement Data'!A36="","",'Settlement Data'!E36)</f>
        <v/>
      </c>
      <c r="I36" s="12">
        <f>IF('Settlement Data'!A36="","",'Settlement Data'!F36)</f>
        <v/>
      </c>
      <c r="J36" s="14">
        <f>IF('Settlement Data'!A36="","",H36+I36)</f>
        <v/>
      </c>
      <c r="K36" s="14">
        <f>IF('Settlement Data'!A36="","",J36-G36)</f>
        <v/>
      </c>
      <c r="L36" s="6">
        <f>IF('Settlement Data'!A36="","",IF(K36&gt;0.5,"OVERCHARGED",IF(K36&lt;-0.5,"UNDERBILLED","MATCH")))</f>
        <v/>
      </c>
    </row>
    <row r="37">
      <c r="A37" s="11">
        <f>IF('Settlement Data'!A37="","",'Settlement Data'!A37)</f>
        <v/>
      </c>
      <c r="B37" s="11">
        <f>IF('Settlement Data'!A37="","",'Settlement Data'!C37)</f>
        <v/>
      </c>
      <c r="C37" s="12">
        <f>IF('Settlement Data'!A37="","",'Settlement Data'!D37)</f>
        <v/>
      </c>
      <c r="D37" s="13">
        <f>IF('Settlement Data'!A37="","",INDEX('TDR Rate Card'!$B$4:$B$8,MATCH(B37,'TDR Rate Card'!$A$4:$A$8,0)))</f>
        <v/>
      </c>
      <c r="E37" s="14">
        <f>IF('Settlement Data'!A37="","",C37*D37)</f>
        <v/>
      </c>
      <c r="F37" s="12">
        <f>IF('Settlement Data'!A37="","",E37*INDEX('TDR Rate Card'!$C$4:$C$8,MATCH(B37,'TDR Rate Card'!$A$4:$A$8,0)))</f>
        <v/>
      </c>
      <c r="G37" s="14">
        <f>IF('Settlement Data'!A37="","",E37+F37)</f>
        <v/>
      </c>
      <c r="H37" s="12">
        <f>IF('Settlement Data'!A37="","",'Settlement Data'!E37)</f>
        <v/>
      </c>
      <c r="I37" s="12">
        <f>IF('Settlement Data'!A37="","",'Settlement Data'!F37)</f>
        <v/>
      </c>
      <c r="J37" s="14">
        <f>IF('Settlement Data'!A37="","",H37+I37)</f>
        <v/>
      </c>
      <c r="K37" s="14">
        <f>IF('Settlement Data'!A37="","",J37-G37)</f>
        <v/>
      </c>
      <c r="L37" s="6">
        <f>IF('Settlement Data'!A37="","",IF(K37&gt;0.5,"OVERCHARGED",IF(K37&lt;-0.5,"UNDERBILLED","MATCH")))</f>
        <v/>
      </c>
    </row>
    <row r="38">
      <c r="A38" s="11">
        <f>IF('Settlement Data'!A38="","",'Settlement Data'!A38)</f>
        <v/>
      </c>
      <c r="B38" s="11">
        <f>IF('Settlement Data'!A38="","",'Settlement Data'!C38)</f>
        <v/>
      </c>
      <c r="C38" s="12">
        <f>IF('Settlement Data'!A38="","",'Settlement Data'!D38)</f>
        <v/>
      </c>
      <c r="D38" s="13">
        <f>IF('Settlement Data'!A38="","",INDEX('TDR Rate Card'!$B$4:$B$8,MATCH(B38,'TDR Rate Card'!$A$4:$A$8,0)))</f>
        <v/>
      </c>
      <c r="E38" s="14">
        <f>IF('Settlement Data'!A38="","",C38*D38)</f>
        <v/>
      </c>
      <c r="F38" s="12">
        <f>IF('Settlement Data'!A38="","",E38*INDEX('TDR Rate Card'!$C$4:$C$8,MATCH(B38,'TDR Rate Card'!$A$4:$A$8,0)))</f>
        <v/>
      </c>
      <c r="G38" s="14">
        <f>IF('Settlement Data'!A38="","",E38+F38)</f>
        <v/>
      </c>
      <c r="H38" s="12">
        <f>IF('Settlement Data'!A38="","",'Settlement Data'!E38)</f>
        <v/>
      </c>
      <c r="I38" s="12">
        <f>IF('Settlement Data'!A38="","",'Settlement Data'!F38)</f>
        <v/>
      </c>
      <c r="J38" s="14">
        <f>IF('Settlement Data'!A38="","",H38+I38)</f>
        <v/>
      </c>
      <c r="K38" s="14">
        <f>IF('Settlement Data'!A38="","",J38-G38)</f>
        <v/>
      </c>
      <c r="L38" s="6">
        <f>IF('Settlement Data'!A38="","",IF(K38&gt;0.5,"OVERCHARGED",IF(K38&lt;-0.5,"UNDERBILLED","MATCH")))</f>
        <v/>
      </c>
    </row>
    <row r="39">
      <c r="A39" s="11">
        <f>IF('Settlement Data'!A39="","",'Settlement Data'!A39)</f>
        <v/>
      </c>
      <c r="B39" s="11">
        <f>IF('Settlement Data'!A39="","",'Settlement Data'!C39)</f>
        <v/>
      </c>
      <c r="C39" s="12">
        <f>IF('Settlement Data'!A39="","",'Settlement Data'!D39)</f>
        <v/>
      </c>
      <c r="D39" s="13">
        <f>IF('Settlement Data'!A39="","",INDEX('TDR Rate Card'!$B$4:$B$8,MATCH(B39,'TDR Rate Card'!$A$4:$A$8,0)))</f>
        <v/>
      </c>
      <c r="E39" s="14">
        <f>IF('Settlement Data'!A39="","",C39*D39)</f>
        <v/>
      </c>
      <c r="F39" s="12">
        <f>IF('Settlement Data'!A39="","",E39*INDEX('TDR Rate Card'!$C$4:$C$8,MATCH(B39,'TDR Rate Card'!$A$4:$A$8,0)))</f>
        <v/>
      </c>
      <c r="G39" s="14">
        <f>IF('Settlement Data'!A39="","",E39+F39)</f>
        <v/>
      </c>
      <c r="H39" s="12">
        <f>IF('Settlement Data'!A39="","",'Settlement Data'!E39)</f>
        <v/>
      </c>
      <c r="I39" s="12">
        <f>IF('Settlement Data'!A39="","",'Settlement Data'!F39)</f>
        <v/>
      </c>
      <c r="J39" s="14">
        <f>IF('Settlement Data'!A39="","",H39+I39)</f>
        <v/>
      </c>
      <c r="K39" s="14">
        <f>IF('Settlement Data'!A39="","",J39-G39)</f>
        <v/>
      </c>
      <c r="L39" s="6">
        <f>IF('Settlement Data'!A39="","",IF(K39&gt;0.5,"OVERCHARGED",IF(K39&lt;-0.5,"UNDERBILLED","MATCH")))</f>
        <v/>
      </c>
    </row>
    <row r="40">
      <c r="A40" s="11">
        <f>IF('Settlement Data'!A40="","",'Settlement Data'!A40)</f>
        <v/>
      </c>
      <c r="B40" s="11">
        <f>IF('Settlement Data'!A40="","",'Settlement Data'!C40)</f>
        <v/>
      </c>
      <c r="C40" s="12">
        <f>IF('Settlement Data'!A40="","",'Settlement Data'!D40)</f>
        <v/>
      </c>
      <c r="D40" s="13">
        <f>IF('Settlement Data'!A40="","",INDEX('TDR Rate Card'!$B$4:$B$8,MATCH(B40,'TDR Rate Card'!$A$4:$A$8,0)))</f>
        <v/>
      </c>
      <c r="E40" s="14">
        <f>IF('Settlement Data'!A40="","",C40*D40)</f>
        <v/>
      </c>
      <c r="F40" s="12">
        <f>IF('Settlement Data'!A40="","",E40*INDEX('TDR Rate Card'!$C$4:$C$8,MATCH(B40,'TDR Rate Card'!$A$4:$A$8,0)))</f>
        <v/>
      </c>
      <c r="G40" s="14">
        <f>IF('Settlement Data'!A40="","",E40+F40)</f>
        <v/>
      </c>
      <c r="H40" s="12">
        <f>IF('Settlement Data'!A40="","",'Settlement Data'!E40)</f>
        <v/>
      </c>
      <c r="I40" s="12">
        <f>IF('Settlement Data'!A40="","",'Settlement Data'!F40)</f>
        <v/>
      </c>
      <c r="J40" s="14">
        <f>IF('Settlement Data'!A40="","",H40+I40)</f>
        <v/>
      </c>
      <c r="K40" s="14">
        <f>IF('Settlement Data'!A40="","",J40-G40)</f>
        <v/>
      </c>
      <c r="L40" s="6">
        <f>IF('Settlement Data'!A40="","",IF(K40&gt;0.5,"OVERCHARGED",IF(K40&lt;-0.5,"UNDERBILLED","MATCH")))</f>
        <v/>
      </c>
    </row>
    <row r="41">
      <c r="A41" s="11">
        <f>IF('Settlement Data'!A41="","",'Settlement Data'!A41)</f>
        <v/>
      </c>
      <c r="B41" s="11">
        <f>IF('Settlement Data'!A41="","",'Settlement Data'!C41)</f>
        <v/>
      </c>
      <c r="C41" s="12">
        <f>IF('Settlement Data'!A41="","",'Settlement Data'!D41)</f>
        <v/>
      </c>
      <c r="D41" s="13">
        <f>IF('Settlement Data'!A41="","",INDEX('TDR Rate Card'!$B$4:$B$8,MATCH(B41,'TDR Rate Card'!$A$4:$A$8,0)))</f>
        <v/>
      </c>
      <c r="E41" s="14">
        <f>IF('Settlement Data'!A41="","",C41*D41)</f>
        <v/>
      </c>
      <c r="F41" s="12">
        <f>IF('Settlement Data'!A41="","",E41*INDEX('TDR Rate Card'!$C$4:$C$8,MATCH(B41,'TDR Rate Card'!$A$4:$A$8,0)))</f>
        <v/>
      </c>
      <c r="G41" s="14">
        <f>IF('Settlement Data'!A41="","",E41+F41)</f>
        <v/>
      </c>
      <c r="H41" s="12">
        <f>IF('Settlement Data'!A41="","",'Settlement Data'!E41)</f>
        <v/>
      </c>
      <c r="I41" s="12">
        <f>IF('Settlement Data'!A41="","",'Settlement Data'!F41)</f>
        <v/>
      </c>
      <c r="J41" s="14">
        <f>IF('Settlement Data'!A41="","",H41+I41)</f>
        <v/>
      </c>
      <c r="K41" s="14">
        <f>IF('Settlement Data'!A41="","",J41-G41)</f>
        <v/>
      </c>
      <c r="L41" s="6">
        <f>IF('Settlement Data'!A41="","",IF(K41&gt;0.5,"OVERCHARGED",IF(K41&lt;-0.5,"UNDERBILLED","MATCH")))</f>
        <v/>
      </c>
    </row>
    <row r="42">
      <c r="A42" s="11">
        <f>IF('Settlement Data'!A42="","",'Settlement Data'!A42)</f>
        <v/>
      </c>
      <c r="B42" s="11">
        <f>IF('Settlement Data'!A42="","",'Settlement Data'!C42)</f>
        <v/>
      </c>
      <c r="C42" s="12">
        <f>IF('Settlement Data'!A42="","",'Settlement Data'!D42)</f>
        <v/>
      </c>
      <c r="D42" s="13">
        <f>IF('Settlement Data'!A42="","",INDEX('TDR Rate Card'!$B$4:$B$8,MATCH(B42,'TDR Rate Card'!$A$4:$A$8,0)))</f>
        <v/>
      </c>
      <c r="E42" s="14">
        <f>IF('Settlement Data'!A42="","",C42*D42)</f>
        <v/>
      </c>
      <c r="F42" s="12">
        <f>IF('Settlement Data'!A42="","",E42*INDEX('TDR Rate Card'!$C$4:$C$8,MATCH(B42,'TDR Rate Card'!$A$4:$A$8,0)))</f>
        <v/>
      </c>
      <c r="G42" s="14">
        <f>IF('Settlement Data'!A42="","",E42+F42)</f>
        <v/>
      </c>
      <c r="H42" s="12">
        <f>IF('Settlement Data'!A42="","",'Settlement Data'!E42)</f>
        <v/>
      </c>
      <c r="I42" s="12">
        <f>IF('Settlement Data'!A42="","",'Settlement Data'!F42)</f>
        <v/>
      </c>
      <c r="J42" s="14">
        <f>IF('Settlement Data'!A42="","",H42+I42)</f>
        <v/>
      </c>
      <c r="K42" s="14">
        <f>IF('Settlement Data'!A42="","",J42-G42)</f>
        <v/>
      </c>
      <c r="L42" s="6">
        <f>IF('Settlement Data'!A42="","",IF(K42&gt;0.5,"OVERCHARGED",IF(K42&lt;-0.5,"UNDERBILLED","MATCH")))</f>
        <v/>
      </c>
    </row>
    <row r="43">
      <c r="A43" s="11">
        <f>IF('Settlement Data'!A43="","",'Settlement Data'!A43)</f>
        <v/>
      </c>
      <c r="B43" s="11">
        <f>IF('Settlement Data'!A43="","",'Settlement Data'!C43)</f>
        <v/>
      </c>
      <c r="C43" s="12">
        <f>IF('Settlement Data'!A43="","",'Settlement Data'!D43)</f>
        <v/>
      </c>
      <c r="D43" s="13">
        <f>IF('Settlement Data'!A43="","",INDEX('TDR Rate Card'!$B$4:$B$8,MATCH(B43,'TDR Rate Card'!$A$4:$A$8,0)))</f>
        <v/>
      </c>
      <c r="E43" s="14">
        <f>IF('Settlement Data'!A43="","",C43*D43)</f>
        <v/>
      </c>
      <c r="F43" s="12">
        <f>IF('Settlement Data'!A43="","",E43*INDEX('TDR Rate Card'!$C$4:$C$8,MATCH(B43,'TDR Rate Card'!$A$4:$A$8,0)))</f>
        <v/>
      </c>
      <c r="G43" s="14">
        <f>IF('Settlement Data'!A43="","",E43+F43)</f>
        <v/>
      </c>
      <c r="H43" s="12">
        <f>IF('Settlement Data'!A43="","",'Settlement Data'!E43)</f>
        <v/>
      </c>
      <c r="I43" s="12">
        <f>IF('Settlement Data'!A43="","",'Settlement Data'!F43)</f>
        <v/>
      </c>
      <c r="J43" s="14">
        <f>IF('Settlement Data'!A43="","",H43+I43)</f>
        <v/>
      </c>
      <c r="K43" s="14">
        <f>IF('Settlement Data'!A43="","",J43-G43)</f>
        <v/>
      </c>
      <c r="L43" s="6">
        <f>IF('Settlement Data'!A43="","",IF(K43&gt;0.5,"OVERCHARGED",IF(K43&lt;-0.5,"UNDERBILLED","MATCH")))</f>
        <v/>
      </c>
    </row>
    <row r="44">
      <c r="A44" s="11">
        <f>IF('Settlement Data'!A44="","",'Settlement Data'!A44)</f>
        <v/>
      </c>
      <c r="B44" s="11">
        <f>IF('Settlement Data'!A44="","",'Settlement Data'!C44)</f>
        <v/>
      </c>
      <c r="C44" s="12">
        <f>IF('Settlement Data'!A44="","",'Settlement Data'!D44)</f>
        <v/>
      </c>
      <c r="D44" s="13">
        <f>IF('Settlement Data'!A44="","",INDEX('TDR Rate Card'!$B$4:$B$8,MATCH(B44,'TDR Rate Card'!$A$4:$A$8,0)))</f>
        <v/>
      </c>
      <c r="E44" s="14">
        <f>IF('Settlement Data'!A44="","",C44*D44)</f>
        <v/>
      </c>
      <c r="F44" s="12">
        <f>IF('Settlement Data'!A44="","",E44*INDEX('TDR Rate Card'!$C$4:$C$8,MATCH(B44,'TDR Rate Card'!$A$4:$A$8,0)))</f>
        <v/>
      </c>
      <c r="G44" s="14">
        <f>IF('Settlement Data'!A44="","",E44+F44)</f>
        <v/>
      </c>
      <c r="H44" s="12">
        <f>IF('Settlement Data'!A44="","",'Settlement Data'!E44)</f>
        <v/>
      </c>
      <c r="I44" s="12">
        <f>IF('Settlement Data'!A44="","",'Settlement Data'!F44)</f>
        <v/>
      </c>
      <c r="J44" s="14">
        <f>IF('Settlement Data'!A44="","",H44+I44)</f>
        <v/>
      </c>
      <c r="K44" s="14">
        <f>IF('Settlement Data'!A44="","",J44-G44)</f>
        <v/>
      </c>
      <c r="L44" s="6">
        <f>IF('Settlement Data'!A44="","",IF(K44&gt;0.5,"OVERCHARGED",IF(K44&lt;-0.5,"UNDERBILLED","MATCH")))</f>
        <v/>
      </c>
    </row>
    <row r="45">
      <c r="A45" s="11">
        <f>IF('Settlement Data'!A45="","",'Settlement Data'!A45)</f>
        <v/>
      </c>
      <c r="B45" s="11">
        <f>IF('Settlement Data'!A45="","",'Settlement Data'!C45)</f>
        <v/>
      </c>
      <c r="C45" s="12">
        <f>IF('Settlement Data'!A45="","",'Settlement Data'!D45)</f>
        <v/>
      </c>
      <c r="D45" s="13">
        <f>IF('Settlement Data'!A45="","",INDEX('TDR Rate Card'!$B$4:$B$8,MATCH(B45,'TDR Rate Card'!$A$4:$A$8,0)))</f>
        <v/>
      </c>
      <c r="E45" s="14">
        <f>IF('Settlement Data'!A45="","",C45*D45)</f>
        <v/>
      </c>
      <c r="F45" s="12">
        <f>IF('Settlement Data'!A45="","",E45*INDEX('TDR Rate Card'!$C$4:$C$8,MATCH(B45,'TDR Rate Card'!$A$4:$A$8,0)))</f>
        <v/>
      </c>
      <c r="G45" s="14">
        <f>IF('Settlement Data'!A45="","",E45+F45)</f>
        <v/>
      </c>
      <c r="H45" s="12">
        <f>IF('Settlement Data'!A45="","",'Settlement Data'!E45)</f>
        <v/>
      </c>
      <c r="I45" s="12">
        <f>IF('Settlement Data'!A45="","",'Settlement Data'!F45)</f>
        <v/>
      </c>
      <c r="J45" s="14">
        <f>IF('Settlement Data'!A45="","",H45+I45)</f>
        <v/>
      </c>
      <c r="K45" s="14">
        <f>IF('Settlement Data'!A45="","",J45-G45)</f>
        <v/>
      </c>
      <c r="L45" s="6">
        <f>IF('Settlement Data'!A45="","",IF(K45&gt;0.5,"OVERCHARGED",IF(K45&lt;-0.5,"UNDERBILLED","MATCH")))</f>
        <v/>
      </c>
    </row>
    <row r="46">
      <c r="A46" s="11">
        <f>IF('Settlement Data'!A46="","",'Settlement Data'!A46)</f>
        <v/>
      </c>
      <c r="B46" s="11">
        <f>IF('Settlement Data'!A46="","",'Settlement Data'!C46)</f>
        <v/>
      </c>
      <c r="C46" s="12">
        <f>IF('Settlement Data'!A46="","",'Settlement Data'!D46)</f>
        <v/>
      </c>
      <c r="D46" s="13">
        <f>IF('Settlement Data'!A46="","",INDEX('TDR Rate Card'!$B$4:$B$8,MATCH(B46,'TDR Rate Card'!$A$4:$A$8,0)))</f>
        <v/>
      </c>
      <c r="E46" s="14">
        <f>IF('Settlement Data'!A46="","",C46*D46)</f>
        <v/>
      </c>
      <c r="F46" s="12">
        <f>IF('Settlement Data'!A46="","",E46*INDEX('TDR Rate Card'!$C$4:$C$8,MATCH(B46,'TDR Rate Card'!$A$4:$A$8,0)))</f>
        <v/>
      </c>
      <c r="G46" s="14">
        <f>IF('Settlement Data'!A46="","",E46+F46)</f>
        <v/>
      </c>
      <c r="H46" s="12">
        <f>IF('Settlement Data'!A46="","",'Settlement Data'!E46)</f>
        <v/>
      </c>
      <c r="I46" s="12">
        <f>IF('Settlement Data'!A46="","",'Settlement Data'!F46)</f>
        <v/>
      </c>
      <c r="J46" s="14">
        <f>IF('Settlement Data'!A46="","",H46+I46)</f>
        <v/>
      </c>
      <c r="K46" s="14">
        <f>IF('Settlement Data'!A46="","",J46-G46)</f>
        <v/>
      </c>
      <c r="L46" s="6">
        <f>IF('Settlement Data'!A46="","",IF(K46&gt;0.5,"OVERCHARGED",IF(K46&lt;-0.5,"UNDERBILLED","MATCH")))</f>
        <v/>
      </c>
    </row>
    <row r="47">
      <c r="A47" s="11">
        <f>IF('Settlement Data'!A47="","",'Settlement Data'!A47)</f>
        <v/>
      </c>
      <c r="B47" s="11">
        <f>IF('Settlement Data'!A47="","",'Settlement Data'!C47)</f>
        <v/>
      </c>
      <c r="C47" s="12">
        <f>IF('Settlement Data'!A47="","",'Settlement Data'!D47)</f>
        <v/>
      </c>
      <c r="D47" s="13">
        <f>IF('Settlement Data'!A47="","",INDEX('TDR Rate Card'!$B$4:$B$8,MATCH(B47,'TDR Rate Card'!$A$4:$A$8,0)))</f>
        <v/>
      </c>
      <c r="E47" s="14">
        <f>IF('Settlement Data'!A47="","",C47*D47)</f>
        <v/>
      </c>
      <c r="F47" s="12">
        <f>IF('Settlement Data'!A47="","",E47*INDEX('TDR Rate Card'!$C$4:$C$8,MATCH(B47,'TDR Rate Card'!$A$4:$A$8,0)))</f>
        <v/>
      </c>
      <c r="G47" s="14">
        <f>IF('Settlement Data'!A47="","",E47+F47)</f>
        <v/>
      </c>
      <c r="H47" s="12">
        <f>IF('Settlement Data'!A47="","",'Settlement Data'!E47)</f>
        <v/>
      </c>
      <c r="I47" s="12">
        <f>IF('Settlement Data'!A47="","",'Settlement Data'!F47)</f>
        <v/>
      </c>
      <c r="J47" s="14">
        <f>IF('Settlement Data'!A47="","",H47+I47)</f>
        <v/>
      </c>
      <c r="K47" s="14">
        <f>IF('Settlement Data'!A47="","",J47-G47)</f>
        <v/>
      </c>
      <c r="L47" s="6">
        <f>IF('Settlement Data'!A47="","",IF(K47&gt;0.5,"OVERCHARGED",IF(K47&lt;-0.5,"UNDERBILLED","MATCH")))</f>
        <v/>
      </c>
    </row>
    <row r="48">
      <c r="A48" s="11">
        <f>IF('Settlement Data'!A48="","",'Settlement Data'!A48)</f>
        <v/>
      </c>
      <c r="B48" s="11">
        <f>IF('Settlement Data'!A48="","",'Settlement Data'!C48)</f>
        <v/>
      </c>
      <c r="C48" s="12">
        <f>IF('Settlement Data'!A48="","",'Settlement Data'!D48)</f>
        <v/>
      </c>
      <c r="D48" s="13">
        <f>IF('Settlement Data'!A48="","",INDEX('TDR Rate Card'!$B$4:$B$8,MATCH(B48,'TDR Rate Card'!$A$4:$A$8,0)))</f>
        <v/>
      </c>
      <c r="E48" s="14">
        <f>IF('Settlement Data'!A48="","",C48*D48)</f>
        <v/>
      </c>
      <c r="F48" s="12">
        <f>IF('Settlement Data'!A48="","",E48*INDEX('TDR Rate Card'!$C$4:$C$8,MATCH(B48,'TDR Rate Card'!$A$4:$A$8,0)))</f>
        <v/>
      </c>
      <c r="G48" s="14">
        <f>IF('Settlement Data'!A48="","",E48+F48)</f>
        <v/>
      </c>
      <c r="H48" s="12">
        <f>IF('Settlement Data'!A48="","",'Settlement Data'!E48)</f>
        <v/>
      </c>
      <c r="I48" s="12">
        <f>IF('Settlement Data'!A48="","",'Settlement Data'!F48)</f>
        <v/>
      </c>
      <c r="J48" s="14">
        <f>IF('Settlement Data'!A48="","",H48+I48)</f>
        <v/>
      </c>
      <c r="K48" s="14">
        <f>IF('Settlement Data'!A48="","",J48-G48)</f>
        <v/>
      </c>
      <c r="L48" s="6">
        <f>IF('Settlement Data'!A48="","",IF(K48&gt;0.5,"OVERCHARGED",IF(K48&lt;-0.5,"UNDERBILLED","MATCH")))</f>
        <v/>
      </c>
    </row>
    <row r="49">
      <c r="A49" s="11">
        <f>IF('Settlement Data'!A49="","",'Settlement Data'!A49)</f>
        <v/>
      </c>
      <c r="B49" s="11">
        <f>IF('Settlement Data'!A49="","",'Settlement Data'!C49)</f>
        <v/>
      </c>
      <c r="C49" s="12">
        <f>IF('Settlement Data'!A49="","",'Settlement Data'!D49)</f>
        <v/>
      </c>
      <c r="D49" s="13">
        <f>IF('Settlement Data'!A49="","",INDEX('TDR Rate Card'!$B$4:$B$8,MATCH(B49,'TDR Rate Card'!$A$4:$A$8,0)))</f>
        <v/>
      </c>
      <c r="E49" s="14">
        <f>IF('Settlement Data'!A49="","",C49*D49)</f>
        <v/>
      </c>
      <c r="F49" s="12">
        <f>IF('Settlement Data'!A49="","",E49*INDEX('TDR Rate Card'!$C$4:$C$8,MATCH(B49,'TDR Rate Card'!$A$4:$A$8,0)))</f>
        <v/>
      </c>
      <c r="G49" s="14">
        <f>IF('Settlement Data'!A49="","",E49+F49)</f>
        <v/>
      </c>
      <c r="H49" s="12">
        <f>IF('Settlement Data'!A49="","",'Settlement Data'!E49)</f>
        <v/>
      </c>
      <c r="I49" s="12">
        <f>IF('Settlement Data'!A49="","",'Settlement Data'!F49)</f>
        <v/>
      </c>
      <c r="J49" s="14">
        <f>IF('Settlement Data'!A49="","",H49+I49)</f>
        <v/>
      </c>
      <c r="K49" s="14">
        <f>IF('Settlement Data'!A49="","",J49-G49)</f>
        <v/>
      </c>
      <c r="L49" s="6">
        <f>IF('Settlement Data'!A49="","",IF(K49&gt;0.5,"OVERCHARGED",IF(K49&lt;-0.5,"UNDERBILLED","MATCH")))</f>
        <v/>
      </c>
    </row>
    <row r="50">
      <c r="A50" s="11">
        <f>IF('Settlement Data'!A50="","",'Settlement Data'!A50)</f>
        <v/>
      </c>
      <c r="B50" s="11">
        <f>IF('Settlement Data'!A50="","",'Settlement Data'!C50)</f>
        <v/>
      </c>
      <c r="C50" s="12">
        <f>IF('Settlement Data'!A50="","",'Settlement Data'!D50)</f>
        <v/>
      </c>
      <c r="D50" s="13">
        <f>IF('Settlement Data'!A50="","",INDEX('TDR Rate Card'!$B$4:$B$8,MATCH(B50,'TDR Rate Card'!$A$4:$A$8,0)))</f>
        <v/>
      </c>
      <c r="E50" s="14">
        <f>IF('Settlement Data'!A50="","",C50*D50)</f>
        <v/>
      </c>
      <c r="F50" s="12">
        <f>IF('Settlement Data'!A50="","",E50*INDEX('TDR Rate Card'!$C$4:$C$8,MATCH(B50,'TDR Rate Card'!$A$4:$A$8,0)))</f>
        <v/>
      </c>
      <c r="G50" s="14">
        <f>IF('Settlement Data'!A50="","",E50+F50)</f>
        <v/>
      </c>
      <c r="H50" s="12">
        <f>IF('Settlement Data'!A50="","",'Settlement Data'!E50)</f>
        <v/>
      </c>
      <c r="I50" s="12">
        <f>IF('Settlement Data'!A50="","",'Settlement Data'!F50)</f>
        <v/>
      </c>
      <c r="J50" s="14">
        <f>IF('Settlement Data'!A50="","",H50+I50)</f>
        <v/>
      </c>
      <c r="K50" s="14">
        <f>IF('Settlement Data'!A50="","",J50-G50)</f>
        <v/>
      </c>
      <c r="L50" s="6">
        <f>IF('Settlement Data'!A50="","",IF(K50&gt;0.5,"OVERCHARGED",IF(K50&lt;-0.5,"UNDERBILLED","MATCH")))</f>
        <v/>
      </c>
    </row>
    <row r="51">
      <c r="A51" s="11">
        <f>IF('Settlement Data'!A51="","",'Settlement Data'!A51)</f>
        <v/>
      </c>
      <c r="B51" s="11">
        <f>IF('Settlement Data'!A51="","",'Settlement Data'!C51)</f>
        <v/>
      </c>
      <c r="C51" s="12">
        <f>IF('Settlement Data'!A51="","",'Settlement Data'!D51)</f>
        <v/>
      </c>
      <c r="D51" s="13">
        <f>IF('Settlement Data'!A51="","",INDEX('TDR Rate Card'!$B$4:$B$8,MATCH(B51,'TDR Rate Card'!$A$4:$A$8,0)))</f>
        <v/>
      </c>
      <c r="E51" s="14">
        <f>IF('Settlement Data'!A51="","",C51*D51)</f>
        <v/>
      </c>
      <c r="F51" s="12">
        <f>IF('Settlement Data'!A51="","",E51*INDEX('TDR Rate Card'!$C$4:$C$8,MATCH(B51,'TDR Rate Card'!$A$4:$A$8,0)))</f>
        <v/>
      </c>
      <c r="G51" s="14">
        <f>IF('Settlement Data'!A51="","",E51+F51)</f>
        <v/>
      </c>
      <c r="H51" s="12">
        <f>IF('Settlement Data'!A51="","",'Settlement Data'!E51)</f>
        <v/>
      </c>
      <c r="I51" s="12">
        <f>IF('Settlement Data'!A51="","",'Settlement Data'!F51)</f>
        <v/>
      </c>
      <c r="J51" s="14">
        <f>IF('Settlement Data'!A51="","",H51+I51)</f>
        <v/>
      </c>
      <c r="K51" s="14">
        <f>IF('Settlement Data'!A51="","",J51-G51)</f>
        <v/>
      </c>
      <c r="L51" s="6">
        <f>IF('Settlement Data'!A51="","",IF(K51&gt;0.5,"OVERCHARGED",IF(K51&lt;-0.5,"UNDERBILLED","MATCH")))</f>
        <v/>
      </c>
    </row>
    <row r="52">
      <c r="A52" s="11">
        <f>IF('Settlement Data'!A52="","",'Settlement Data'!A52)</f>
        <v/>
      </c>
      <c r="B52" s="11">
        <f>IF('Settlement Data'!A52="","",'Settlement Data'!C52)</f>
        <v/>
      </c>
      <c r="C52" s="12">
        <f>IF('Settlement Data'!A52="","",'Settlement Data'!D52)</f>
        <v/>
      </c>
      <c r="D52" s="13">
        <f>IF('Settlement Data'!A52="","",INDEX('TDR Rate Card'!$B$4:$B$8,MATCH(B52,'TDR Rate Card'!$A$4:$A$8,0)))</f>
        <v/>
      </c>
      <c r="E52" s="14">
        <f>IF('Settlement Data'!A52="","",C52*D52)</f>
        <v/>
      </c>
      <c r="F52" s="12">
        <f>IF('Settlement Data'!A52="","",E52*INDEX('TDR Rate Card'!$C$4:$C$8,MATCH(B52,'TDR Rate Card'!$A$4:$A$8,0)))</f>
        <v/>
      </c>
      <c r="G52" s="14">
        <f>IF('Settlement Data'!A52="","",E52+F52)</f>
        <v/>
      </c>
      <c r="H52" s="12">
        <f>IF('Settlement Data'!A52="","",'Settlement Data'!E52)</f>
        <v/>
      </c>
      <c r="I52" s="12">
        <f>IF('Settlement Data'!A52="","",'Settlement Data'!F52)</f>
        <v/>
      </c>
      <c r="J52" s="14">
        <f>IF('Settlement Data'!A52="","",H52+I52)</f>
        <v/>
      </c>
      <c r="K52" s="14">
        <f>IF('Settlement Data'!A52="","",J52-G52)</f>
        <v/>
      </c>
      <c r="L52" s="6">
        <f>IF('Settlement Data'!A52="","",IF(K52&gt;0.5,"OVERCHARGED",IF(K52&lt;-0.5,"UNDERBILLED","MATCH")))</f>
        <v/>
      </c>
    </row>
    <row r="53">
      <c r="A53" s="11">
        <f>IF('Settlement Data'!A53="","",'Settlement Data'!A53)</f>
        <v/>
      </c>
      <c r="B53" s="11">
        <f>IF('Settlement Data'!A53="","",'Settlement Data'!C53)</f>
        <v/>
      </c>
      <c r="C53" s="12">
        <f>IF('Settlement Data'!A53="","",'Settlement Data'!D53)</f>
        <v/>
      </c>
      <c r="D53" s="13">
        <f>IF('Settlement Data'!A53="","",INDEX('TDR Rate Card'!$B$4:$B$8,MATCH(B53,'TDR Rate Card'!$A$4:$A$8,0)))</f>
        <v/>
      </c>
      <c r="E53" s="14">
        <f>IF('Settlement Data'!A53="","",C53*D53)</f>
        <v/>
      </c>
      <c r="F53" s="12">
        <f>IF('Settlement Data'!A53="","",E53*INDEX('TDR Rate Card'!$C$4:$C$8,MATCH(B53,'TDR Rate Card'!$A$4:$A$8,0)))</f>
        <v/>
      </c>
      <c r="G53" s="14">
        <f>IF('Settlement Data'!A53="","",E53+F53)</f>
        <v/>
      </c>
      <c r="H53" s="12">
        <f>IF('Settlement Data'!A53="","",'Settlement Data'!E53)</f>
        <v/>
      </c>
      <c r="I53" s="12">
        <f>IF('Settlement Data'!A53="","",'Settlement Data'!F53)</f>
        <v/>
      </c>
      <c r="J53" s="14">
        <f>IF('Settlement Data'!A53="","",H53+I53)</f>
        <v/>
      </c>
      <c r="K53" s="14">
        <f>IF('Settlement Data'!A53="","",J53-G53)</f>
        <v/>
      </c>
      <c r="L53" s="6">
        <f>IF('Settlement Data'!A53="","",IF(K53&gt;0.5,"OVERCHARGED",IF(K53&lt;-0.5,"UNDERBILLED","MATCH")))</f>
        <v/>
      </c>
    </row>
    <row r="54">
      <c r="A54" s="11">
        <f>IF('Settlement Data'!A54="","",'Settlement Data'!A54)</f>
        <v/>
      </c>
      <c r="B54" s="11">
        <f>IF('Settlement Data'!A54="","",'Settlement Data'!C54)</f>
        <v/>
      </c>
      <c r="C54" s="12">
        <f>IF('Settlement Data'!A54="","",'Settlement Data'!D54)</f>
        <v/>
      </c>
      <c r="D54" s="13">
        <f>IF('Settlement Data'!A54="","",INDEX('TDR Rate Card'!$B$4:$B$8,MATCH(B54,'TDR Rate Card'!$A$4:$A$8,0)))</f>
        <v/>
      </c>
      <c r="E54" s="14">
        <f>IF('Settlement Data'!A54="","",C54*D54)</f>
        <v/>
      </c>
      <c r="F54" s="12">
        <f>IF('Settlement Data'!A54="","",E54*INDEX('TDR Rate Card'!$C$4:$C$8,MATCH(B54,'TDR Rate Card'!$A$4:$A$8,0)))</f>
        <v/>
      </c>
      <c r="G54" s="14">
        <f>IF('Settlement Data'!A54="","",E54+F54)</f>
        <v/>
      </c>
      <c r="H54" s="12">
        <f>IF('Settlement Data'!A54="","",'Settlement Data'!E54)</f>
        <v/>
      </c>
      <c r="I54" s="12">
        <f>IF('Settlement Data'!A54="","",'Settlement Data'!F54)</f>
        <v/>
      </c>
      <c r="J54" s="14">
        <f>IF('Settlement Data'!A54="","",H54+I54)</f>
        <v/>
      </c>
      <c r="K54" s="14">
        <f>IF('Settlement Data'!A54="","",J54-G54)</f>
        <v/>
      </c>
      <c r="L54" s="6">
        <f>IF('Settlement Data'!A54="","",IF(K54&gt;0.5,"OVERCHARGED",IF(K54&lt;-0.5,"UNDERBILLED","MATCH")))</f>
        <v/>
      </c>
    </row>
    <row r="55">
      <c r="A55" s="11">
        <f>IF('Settlement Data'!A55="","",'Settlement Data'!A55)</f>
        <v/>
      </c>
      <c r="B55" s="11">
        <f>IF('Settlement Data'!A55="","",'Settlement Data'!C55)</f>
        <v/>
      </c>
      <c r="C55" s="12">
        <f>IF('Settlement Data'!A55="","",'Settlement Data'!D55)</f>
        <v/>
      </c>
      <c r="D55" s="13">
        <f>IF('Settlement Data'!A55="","",INDEX('TDR Rate Card'!$B$4:$B$8,MATCH(B55,'TDR Rate Card'!$A$4:$A$8,0)))</f>
        <v/>
      </c>
      <c r="E55" s="14">
        <f>IF('Settlement Data'!A55="","",C55*D55)</f>
        <v/>
      </c>
      <c r="F55" s="12">
        <f>IF('Settlement Data'!A55="","",E55*INDEX('TDR Rate Card'!$C$4:$C$8,MATCH(B55,'TDR Rate Card'!$A$4:$A$8,0)))</f>
        <v/>
      </c>
      <c r="G55" s="14">
        <f>IF('Settlement Data'!A55="","",E55+F55)</f>
        <v/>
      </c>
      <c r="H55" s="12">
        <f>IF('Settlement Data'!A55="","",'Settlement Data'!E55)</f>
        <v/>
      </c>
      <c r="I55" s="12">
        <f>IF('Settlement Data'!A55="","",'Settlement Data'!F55)</f>
        <v/>
      </c>
      <c r="J55" s="14">
        <f>IF('Settlement Data'!A55="","",H55+I55)</f>
        <v/>
      </c>
      <c r="K55" s="14">
        <f>IF('Settlement Data'!A55="","",J55-G55)</f>
        <v/>
      </c>
      <c r="L55" s="6">
        <f>IF('Settlement Data'!A55="","",IF(K55&gt;0.5,"OVERCHARGED",IF(K55&lt;-0.5,"UNDERBILLED","MATCH")))</f>
        <v/>
      </c>
    </row>
    <row r="56">
      <c r="A56" s="11">
        <f>IF('Settlement Data'!A56="","",'Settlement Data'!A56)</f>
        <v/>
      </c>
      <c r="B56" s="11">
        <f>IF('Settlement Data'!A56="","",'Settlement Data'!C56)</f>
        <v/>
      </c>
      <c r="C56" s="12">
        <f>IF('Settlement Data'!A56="","",'Settlement Data'!D56)</f>
        <v/>
      </c>
      <c r="D56" s="13">
        <f>IF('Settlement Data'!A56="","",INDEX('TDR Rate Card'!$B$4:$B$8,MATCH(B56,'TDR Rate Card'!$A$4:$A$8,0)))</f>
        <v/>
      </c>
      <c r="E56" s="14">
        <f>IF('Settlement Data'!A56="","",C56*D56)</f>
        <v/>
      </c>
      <c r="F56" s="12">
        <f>IF('Settlement Data'!A56="","",E56*INDEX('TDR Rate Card'!$C$4:$C$8,MATCH(B56,'TDR Rate Card'!$A$4:$A$8,0)))</f>
        <v/>
      </c>
      <c r="G56" s="14">
        <f>IF('Settlement Data'!A56="","",E56+F56)</f>
        <v/>
      </c>
      <c r="H56" s="12">
        <f>IF('Settlement Data'!A56="","",'Settlement Data'!E56)</f>
        <v/>
      </c>
      <c r="I56" s="12">
        <f>IF('Settlement Data'!A56="","",'Settlement Data'!F56)</f>
        <v/>
      </c>
      <c r="J56" s="14">
        <f>IF('Settlement Data'!A56="","",H56+I56)</f>
        <v/>
      </c>
      <c r="K56" s="14">
        <f>IF('Settlement Data'!A56="","",J56-G56)</f>
        <v/>
      </c>
      <c r="L56" s="6">
        <f>IF('Settlement Data'!A56="","",IF(K56&gt;0.5,"OVERCHARGED",IF(K56&lt;-0.5,"UNDERBILLED","MATCH")))</f>
        <v/>
      </c>
    </row>
    <row r="57">
      <c r="A57" s="11">
        <f>IF('Settlement Data'!A57="","",'Settlement Data'!A57)</f>
        <v/>
      </c>
      <c r="B57" s="11">
        <f>IF('Settlement Data'!A57="","",'Settlement Data'!C57)</f>
        <v/>
      </c>
      <c r="C57" s="12">
        <f>IF('Settlement Data'!A57="","",'Settlement Data'!D57)</f>
        <v/>
      </c>
      <c r="D57" s="13">
        <f>IF('Settlement Data'!A57="","",INDEX('TDR Rate Card'!$B$4:$B$8,MATCH(B57,'TDR Rate Card'!$A$4:$A$8,0)))</f>
        <v/>
      </c>
      <c r="E57" s="14">
        <f>IF('Settlement Data'!A57="","",C57*D57)</f>
        <v/>
      </c>
      <c r="F57" s="12">
        <f>IF('Settlement Data'!A57="","",E57*INDEX('TDR Rate Card'!$C$4:$C$8,MATCH(B57,'TDR Rate Card'!$A$4:$A$8,0)))</f>
        <v/>
      </c>
      <c r="G57" s="14">
        <f>IF('Settlement Data'!A57="","",E57+F57)</f>
        <v/>
      </c>
      <c r="H57" s="12">
        <f>IF('Settlement Data'!A57="","",'Settlement Data'!E57)</f>
        <v/>
      </c>
      <c r="I57" s="12">
        <f>IF('Settlement Data'!A57="","",'Settlement Data'!F57)</f>
        <v/>
      </c>
      <c r="J57" s="14">
        <f>IF('Settlement Data'!A57="","",H57+I57)</f>
        <v/>
      </c>
      <c r="K57" s="14">
        <f>IF('Settlement Data'!A57="","",J57-G57)</f>
        <v/>
      </c>
      <c r="L57" s="6">
        <f>IF('Settlement Data'!A57="","",IF(K57&gt;0.5,"OVERCHARGED",IF(K57&lt;-0.5,"UNDERBILLED","MATCH")))</f>
        <v/>
      </c>
    </row>
    <row r="58">
      <c r="A58" s="11">
        <f>IF('Settlement Data'!A58="","",'Settlement Data'!A58)</f>
        <v/>
      </c>
      <c r="B58" s="11">
        <f>IF('Settlement Data'!A58="","",'Settlement Data'!C58)</f>
        <v/>
      </c>
      <c r="C58" s="12">
        <f>IF('Settlement Data'!A58="","",'Settlement Data'!D58)</f>
        <v/>
      </c>
      <c r="D58" s="13">
        <f>IF('Settlement Data'!A58="","",INDEX('TDR Rate Card'!$B$4:$B$8,MATCH(B58,'TDR Rate Card'!$A$4:$A$8,0)))</f>
        <v/>
      </c>
      <c r="E58" s="14">
        <f>IF('Settlement Data'!A58="","",C58*D58)</f>
        <v/>
      </c>
      <c r="F58" s="12">
        <f>IF('Settlement Data'!A58="","",E58*INDEX('TDR Rate Card'!$C$4:$C$8,MATCH(B58,'TDR Rate Card'!$A$4:$A$8,0)))</f>
        <v/>
      </c>
      <c r="G58" s="14">
        <f>IF('Settlement Data'!A58="","",E58+F58)</f>
        <v/>
      </c>
      <c r="H58" s="12">
        <f>IF('Settlement Data'!A58="","",'Settlement Data'!E58)</f>
        <v/>
      </c>
      <c r="I58" s="12">
        <f>IF('Settlement Data'!A58="","",'Settlement Data'!F58)</f>
        <v/>
      </c>
      <c r="J58" s="14">
        <f>IF('Settlement Data'!A58="","",H58+I58)</f>
        <v/>
      </c>
      <c r="K58" s="14">
        <f>IF('Settlement Data'!A58="","",J58-G58)</f>
        <v/>
      </c>
      <c r="L58" s="6">
        <f>IF('Settlement Data'!A58="","",IF(K58&gt;0.5,"OVERCHARGED",IF(K58&lt;-0.5,"UNDERBILLED","MATCH")))</f>
        <v/>
      </c>
    </row>
    <row r="59">
      <c r="A59" s="11">
        <f>IF('Settlement Data'!A59="","",'Settlement Data'!A59)</f>
        <v/>
      </c>
      <c r="B59" s="11">
        <f>IF('Settlement Data'!A59="","",'Settlement Data'!C59)</f>
        <v/>
      </c>
      <c r="C59" s="12">
        <f>IF('Settlement Data'!A59="","",'Settlement Data'!D59)</f>
        <v/>
      </c>
      <c r="D59" s="13">
        <f>IF('Settlement Data'!A59="","",INDEX('TDR Rate Card'!$B$4:$B$8,MATCH(B59,'TDR Rate Card'!$A$4:$A$8,0)))</f>
        <v/>
      </c>
      <c r="E59" s="14">
        <f>IF('Settlement Data'!A59="","",C59*D59)</f>
        <v/>
      </c>
      <c r="F59" s="12">
        <f>IF('Settlement Data'!A59="","",E59*INDEX('TDR Rate Card'!$C$4:$C$8,MATCH(B59,'TDR Rate Card'!$A$4:$A$8,0)))</f>
        <v/>
      </c>
      <c r="G59" s="14">
        <f>IF('Settlement Data'!A59="","",E59+F59)</f>
        <v/>
      </c>
      <c r="H59" s="12">
        <f>IF('Settlement Data'!A59="","",'Settlement Data'!E59)</f>
        <v/>
      </c>
      <c r="I59" s="12">
        <f>IF('Settlement Data'!A59="","",'Settlement Data'!F59)</f>
        <v/>
      </c>
      <c r="J59" s="14">
        <f>IF('Settlement Data'!A59="","",H59+I59)</f>
        <v/>
      </c>
      <c r="K59" s="14">
        <f>IF('Settlement Data'!A59="","",J59-G59)</f>
        <v/>
      </c>
      <c r="L59" s="6">
        <f>IF('Settlement Data'!A59="","",IF(K59&gt;0.5,"OVERCHARGED",IF(K59&lt;-0.5,"UNDERBILLED","MATCH")))</f>
        <v/>
      </c>
    </row>
    <row r="60">
      <c r="A60" s="11">
        <f>IF('Settlement Data'!A60="","",'Settlement Data'!A60)</f>
        <v/>
      </c>
      <c r="B60" s="11">
        <f>IF('Settlement Data'!A60="","",'Settlement Data'!C60)</f>
        <v/>
      </c>
      <c r="C60" s="12">
        <f>IF('Settlement Data'!A60="","",'Settlement Data'!D60)</f>
        <v/>
      </c>
      <c r="D60" s="13">
        <f>IF('Settlement Data'!A60="","",INDEX('TDR Rate Card'!$B$4:$B$8,MATCH(B60,'TDR Rate Card'!$A$4:$A$8,0)))</f>
        <v/>
      </c>
      <c r="E60" s="14">
        <f>IF('Settlement Data'!A60="","",C60*D60)</f>
        <v/>
      </c>
      <c r="F60" s="12">
        <f>IF('Settlement Data'!A60="","",E60*INDEX('TDR Rate Card'!$C$4:$C$8,MATCH(B60,'TDR Rate Card'!$A$4:$A$8,0)))</f>
        <v/>
      </c>
      <c r="G60" s="14">
        <f>IF('Settlement Data'!A60="","",E60+F60)</f>
        <v/>
      </c>
      <c r="H60" s="12">
        <f>IF('Settlement Data'!A60="","",'Settlement Data'!E60)</f>
        <v/>
      </c>
      <c r="I60" s="12">
        <f>IF('Settlement Data'!A60="","",'Settlement Data'!F60)</f>
        <v/>
      </c>
      <c r="J60" s="14">
        <f>IF('Settlement Data'!A60="","",H60+I60)</f>
        <v/>
      </c>
      <c r="K60" s="14">
        <f>IF('Settlement Data'!A60="","",J60-G60)</f>
        <v/>
      </c>
      <c r="L60" s="6">
        <f>IF('Settlement Data'!A60="","",IF(K60&gt;0.5,"OVERCHARGED",IF(K60&lt;-0.5,"UNDERBILLED","MATCH")))</f>
        <v/>
      </c>
    </row>
    <row r="61">
      <c r="A61" s="11">
        <f>IF('Settlement Data'!A61="","",'Settlement Data'!A61)</f>
        <v/>
      </c>
      <c r="B61" s="11">
        <f>IF('Settlement Data'!A61="","",'Settlement Data'!C61)</f>
        <v/>
      </c>
      <c r="C61" s="12">
        <f>IF('Settlement Data'!A61="","",'Settlement Data'!D61)</f>
        <v/>
      </c>
      <c r="D61" s="13">
        <f>IF('Settlement Data'!A61="","",INDEX('TDR Rate Card'!$B$4:$B$8,MATCH(B61,'TDR Rate Card'!$A$4:$A$8,0)))</f>
        <v/>
      </c>
      <c r="E61" s="14">
        <f>IF('Settlement Data'!A61="","",C61*D61)</f>
        <v/>
      </c>
      <c r="F61" s="12">
        <f>IF('Settlement Data'!A61="","",E61*INDEX('TDR Rate Card'!$C$4:$C$8,MATCH(B61,'TDR Rate Card'!$A$4:$A$8,0)))</f>
        <v/>
      </c>
      <c r="G61" s="14">
        <f>IF('Settlement Data'!A61="","",E61+F61)</f>
        <v/>
      </c>
      <c r="H61" s="12">
        <f>IF('Settlement Data'!A61="","",'Settlement Data'!E61)</f>
        <v/>
      </c>
      <c r="I61" s="12">
        <f>IF('Settlement Data'!A61="","",'Settlement Data'!F61)</f>
        <v/>
      </c>
      <c r="J61" s="14">
        <f>IF('Settlement Data'!A61="","",H61+I61)</f>
        <v/>
      </c>
      <c r="K61" s="14">
        <f>IF('Settlement Data'!A61="","",J61-G61)</f>
        <v/>
      </c>
      <c r="L61" s="6">
        <f>IF('Settlement Data'!A61="","",IF(K61&gt;0.5,"OVERCHARGED",IF(K61&lt;-0.5,"UNDERBILLED","MATCH")))</f>
        <v/>
      </c>
    </row>
    <row r="62">
      <c r="A62" s="11">
        <f>IF('Settlement Data'!A62="","",'Settlement Data'!A62)</f>
        <v/>
      </c>
      <c r="B62" s="11">
        <f>IF('Settlement Data'!A62="","",'Settlement Data'!C62)</f>
        <v/>
      </c>
      <c r="C62" s="12">
        <f>IF('Settlement Data'!A62="","",'Settlement Data'!D62)</f>
        <v/>
      </c>
      <c r="D62" s="13">
        <f>IF('Settlement Data'!A62="","",INDEX('TDR Rate Card'!$B$4:$B$8,MATCH(B62,'TDR Rate Card'!$A$4:$A$8,0)))</f>
        <v/>
      </c>
      <c r="E62" s="14">
        <f>IF('Settlement Data'!A62="","",C62*D62)</f>
        <v/>
      </c>
      <c r="F62" s="12">
        <f>IF('Settlement Data'!A62="","",E62*INDEX('TDR Rate Card'!$C$4:$C$8,MATCH(B62,'TDR Rate Card'!$A$4:$A$8,0)))</f>
        <v/>
      </c>
      <c r="G62" s="14">
        <f>IF('Settlement Data'!A62="","",E62+F62)</f>
        <v/>
      </c>
      <c r="H62" s="12">
        <f>IF('Settlement Data'!A62="","",'Settlement Data'!E62)</f>
        <v/>
      </c>
      <c r="I62" s="12">
        <f>IF('Settlement Data'!A62="","",'Settlement Data'!F62)</f>
        <v/>
      </c>
      <c r="J62" s="14">
        <f>IF('Settlement Data'!A62="","",H62+I62)</f>
        <v/>
      </c>
      <c r="K62" s="14">
        <f>IF('Settlement Data'!A62="","",J62-G62)</f>
        <v/>
      </c>
      <c r="L62" s="6">
        <f>IF('Settlement Data'!A62="","",IF(K62&gt;0.5,"OVERCHARGED",IF(K62&lt;-0.5,"UNDERBILLED","MATCH")))</f>
        <v/>
      </c>
    </row>
    <row r="63">
      <c r="A63" s="11">
        <f>IF('Settlement Data'!A63="","",'Settlement Data'!A63)</f>
        <v/>
      </c>
      <c r="B63" s="11">
        <f>IF('Settlement Data'!A63="","",'Settlement Data'!C63)</f>
        <v/>
      </c>
      <c r="C63" s="12">
        <f>IF('Settlement Data'!A63="","",'Settlement Data'!D63)</f>
        <v/>
      </c>
      <c r="D63" s="13">
        <f>IF('Settlement Data'!A63="","",INDEX('TDR Rate Card'!$B$4:$B$8,MATCH(B63,'TDR Rate Card'!$A$4:$A$8,0)))</f>
        <v/>
      </c>
      <c r="E63" s="14">
        <f>IF('Settlement Data'!A63="","",C63*D63)</f>
        <v/>
      </c>
      <c r="F63" s="12">
        <f>IF('Settlement Data'!A63="","",E63*INDEX('TDR Rate Card'!$C$4:$C$8,MATCH(B63,'TDR Rate Card'!$A$4:$A$8,0)))</f>
        <v/>
      </c>
      <c r="G63" s="14">
        <f>IF('Settlement Data'!A63="","",E63+F63)</f>
        <v/>
      </c>
      <c r="H63" s="12">
        <f>IF('Settlement Data'!A63="","",'Settlement Data'!E63)</f>
        <v/>
      </c>
      <c r="I63" s="12">
        <f>IF('Settlement Data'!A63="","",'Settlement Data'!F63)</f>
        <v/>
      </c>
      <c r="J63" s="14">
        <f>IF('Settlement Data'!A63="","",H63+I63)</f>
        <v/>
      </c>
      <c r="K63" s="14">
        <f>IF('Settlement Data'!A63="","",J63-G63)</f>
        <v/>
      </c>
      <c r="L63" s="6">
        <f>IF('Settlement Data'!A63="","",IF(K63&gt;0.5,"OVERCHARGED",IF(K63&lt;-0.5,"UNDERBILLED","MATCH")))</f>
        <v/>
      </c>
    </row>
    <row r="64">
      <c r="A64" s="11">
        <f>IF('Settlement Data'!A64="","",'Settlement Data'!A64)</f>
        <v/>
      </c>
      <c r="B64" s="11">
        <f>IF('Settlement Data'!A64="","",'Settlement Data'!C64)</f>
        <v/>
      </c>
      <c r="C64" s="12">
        <f>IF('Settlement Data'!A64="","",'Settlement Data'!D64)</f>
        <v/>
      </c>
      <c r="D64" s="13">
        <f>IF('Settlement Data'!A64="","",INDEX('TDR Rate Card'!$B$4:$B$8,MATCH(B64,'TDR Rate Card'!$A$4:$A$8,0)))</f>
        <v/>
      </c>
      <c r="E64" s="14">
        <f>IF('Settlement Data'!A64="","",C64*D64)</f>
        <v/>
      </c>
      <c r="F64" s="12">
        <f>IF('Settlement Data'!A64="","",E64*INDEX('TDR Rate Card'!$C$4:$C$8,MATCH(B64,'TDR Rate Card'!$A$4:$A$8,0)))</f>
        <v/>
      </c>
      <c r="G64" s="14">
        <f>IF('Settlement Data'!A64="","",E64+F64)</f>
        <v/>
      </c>
      <c r="H64" s="12">
        <f>IF('Settlement Data'!A64="","",'Settlement Data'!E64)</f>
        <v/>
      </c>
      <c r="I64" s="12">
        <f>IF('Settlement Data'!A64="","",'Settlement Data'!F64)</f>
        <v/>
      </c>
      <c r="J64" s="14">
        <f>IF('Settlement Data'!A64="","",H64+I64)</f>
        <v/>
      </c>
      <c r="K64" s="14">
        <f>IF('Settlement Data'!A64="","",J64-G64)</f>
        <v/>
      </c>
      <c r="L64" s="6">
        <f>IF('Settlement Data'!A64="","",IF(K64&gt;0.5,"OVERCHARGED",IF(K64&lt;-0.5,"UNDERBILLED","MATCH")))</f>
        <v/>
      </c>
    </row>
    <row r="65">
      <c r="A65" s="11">
        <f>IF('Settlement Data'!A65="","",'Settlement Data'!A65)</f>
        <v/>
      </c>
      <c r="B65" s="11">
        <f>IF('Settlement Data'!A65="","",'Settlement Data'!C65)</f>
        <v/>
      </c>
      <c r="C65" s="12">
        <f>IF('Settlement Data'!A65="","",'Settlement Data'!D65)</f>
        <v/>
      </c>
      <c r="D65" s="13">
        <f>IF('Settlement Data'!A65="","",INDEX('TDR Rate Card'!$B$4:$B$8,MATCH(B65,'TDR Rate Card'!$A$4:$A$8,0)))</f>
        <v/>
      </c>
      <c r="E65" s="14">
        <f>IF('Settlement Data'!A65="","",C65*D65)</f>
        <v/>
      </c>
      <c r="F65" s="12">
        <f>IF('Settlement Data'!A65="","",E65*INDEX('TDR Rate Card'!$C$4:$C$8,MATCH(B65,'TDR Rate Card'!$A$4:$A$8,0)))</f>
        <v/>
      </c>
      <c r="G65" s="14">
        <f>IF('Settlement Data'!A65="","",E65+F65)</f>
        <v/>
      </c>
      <c r="H65" s="12">
        <f>IF('Settlement Data'!A65="","",'Settlement Data'!E65)</f>
        <v/>
      </c>
      <c r="I65" s="12">
        <f>IF('Settlement Data'!A65="","",'Settlement Data'!F65)</f>
        <v/>
      </c>
      <c r="J65" s="14">
        <f>IF('Settlement Data'!A65="","",H65+I65)</f>
        <v/>
      </c>
      <c r="K65" s="14">
        <f>IF('Settlement Data'!A65="","",J65-G65)</f>
        <v/>
      </c>
      <c r="L65" s="6">
        <f>IF('Settlement Data'!A65="","",IF(K65&gt;0.5,"OVERCHARGED",IF(K65&lt;-0.5,"UNDERBILLED","MATCH")))</f>
        <v/>
      </c>
    </row>
    <row r="66">
      <c r="A66" s="11">
        <f>IF('Settlement Data'!A66="","",'Settlement Data'!A66)</f>
        <v/>
      </c>
      <c r="B66" s="11">
        <f>IF('Settlement Data'!A66="","",'Settlement Data'!C66)</f>
        <v/>
      </c>
      <c r="C66" s="12">
        <f>IF('Settlement Data'!A66="","",'Settlement Data'!D66)</f>
        <v/>
      </c>
      <c r="D66" s="13">
        <f>IF('Settlement Data'!A66="","",INDEX('TDR Rate Card'!$B$4:$B$8,MATCH(B66,'TDR Rate Card'!$A$4:$A$8,0)))</f>
        <v/>
      </c>
      <c r="E66" s="14">
        <f>IF('Settlement Data'!A66="","",C66*D66)</f>
        <v/>
      </c>
      <c r="F66" s="12">
        <f>IF('Settlement Data'!A66="","",E66*INDEX('TDR Rate Card'!$C$4:$C$8,MATCH(B66,'TDR Rate Card'!$A$4:$A$8,0)))</f>
        <v/>
      </c>
      <c r="G66" s="14">
        <f>IF('Settlement Data'!A66="","",E66+F66)</f>
        <v/>
      </c>
      <c r="H66" s="12">
        <f>IF('Settlement Data'!A66="","",'Settlement Data'!E66)</f>
        <v/>
      </c>
      <c r="I66" s="12">
        <f>IF('Settlement Data'!A66="","",'Settlement Data'!F66)</f>
        <v/>
      </c>
      <c r="J66" s="14">
        <f>IF('Settlement Data'!A66="","",H66+I66)</f>
        <v/>
      </c>
      <c r="K66" s="14">
        <f>IF('Settlement Data'!A66="","",J66-G66)</f>
        <v/>
      </c>
      <c r="L66" s="6">
        <f>IF('Settlement Data'!A66="","",IF(K66&gt;0.5,"OVERCHARGED",IF(K66&lt;-0.5,"UNDERBILLED","MATCH")))</f>
        <v/>
      </c>
    </row>
    <row r="67">
      <c r="A67" s="11">
        <f>IF('Settlement Data'!A67="","",'Settlement Data'!A67)</f>
        <v/>
      </c>
      <c r="B67" s="11">
        <f>IF('Settlement Data'!A67="","",'Settlement Data'!C67)</f>
        <v/>
      </c>
      <c r="C67" s="12">
        <f>IF('Settlement Data'!A67="","",'Settlement Data'!D67)</f>
        <v/>
      </c>
      <c r="D67" s="13">
        <f>IF('Settlement Data'!A67="","",INDEX('TDR Rate Card'!$B$4:$B$8,MATCH(B67,'TDR Rate Card'!$A$4:$A$8,0)))</f>
        <v/>
      </c>
      <c r="E67" s="14">
        <f>IF('Settlement Data'!A67="","",C67*D67)</f>
        <v/>
      </c>
      <c r="F67" s="12">
        <f>IF('Settlement Data'!A67="","",E67*INDEX('TDR Rate Card'!$C$4:$C$8,MATCH(B67,'TDR Rate Card'!$A$4:$A$8,0)))</f>
        <v/>
      </c>
      <c r="G67" s="14">
        <f>IF('Settlement Data'!A67="","",E67+F67)</f>
        <v/>
      </c>
      <c r="H67" s="12">
        <f>IF('Settlement Data'!A67="","",'Settlement Data'!E67)</f>
        <v/>
      </c>
      <c r="I67" s="12">
        <f>IF('Settlement Data'!A67="","",'Settlement Data'!F67)</f>
        <v/>
      </c>
      <c r="J67" s="14">
        <f>IF('Settlement Data'!A67="","",H67+I67)</f>
        <v/>
      </c>
      <c r="K67" s="14">
        <f>IF('Settlement Data'!A67="","",J67-G67)</f>
        <v/>
      </c>
      <c r="L67" s="6">
        <f>IF('Settlement Data'!A67="","",IF(K67&gt;0.5,"OVERCHARGED",IF(K67&lt;-0.5,"UNDERBILLED","MATCH")))</f>
        <v/>
      </c>
    </row>
    <row r="68">
      <c r="A68" s="11">
        <f>IF('Settlement Data'!A68="","",'Settlement Data'!A68)</f>
        <v/>
      </c>
      <c r="B68" s="11">
        <f>IF('Settlement Data'!A68="","",'Settlement Data'!C68)</f>
        <v/>
      </c>
      <c r="C68" s="12">
        <f>IF('Settlement Data'!A68="","",'Settlement Data'!D68)</f>
        <v/>
      </c>
      <c r="D68" s="13">
        <f>IF('Settlement Data'!A68="","",INDEX('TDR Rate Card'!$B$4:$B$8,MATCH(B68,'TDR Rate Card'!$A$4:$A$8,0)))</f>
        <v/>
      </c>
      <c r="E68" s="14">
        <f>IF('Settlement Data'!A68="","",C68*D68)</f>
        <v/>
      </c>
      <c r="F68" s="12">
        <f>IF('Settlement Data'!A68="","",E68*INDEX('TDR Rate Card'!$C$4:$C$8,MATCH(B68,'TDR Rate Card'!$A$4:$A$8,0)))</f>
        <v/>
      </c>
      <c r="G68" s="14">
        <f>IF('Settlement Data'!A68="","",E68+F68)</f>
        <v/>
      </c>
      <c r="H68" s="12">
        <f>IF('Settlement Data'!A68="","",'Settlement Data'!E68)</f>
        <v/>
      </c>
      <c r="I68" s="12">
        <f>IF('Settlement Data'!A68="","",'Settlement Data'!F68)</f>
        <v/>
      </c>
      <c r="J68" s="14">
        <f>IF('Settlement Data'!A68="","",H68+I68)</f>
        <v/>
      </c>
      <c r="K68" s="14">
        <f>IF('Settlement Data'!A68="","",J68-G68)</f>
        <v/>
      </c>
      <c r="L68" s="6">
        <f>IF('Settlement Data'!A68="","",IF(K68&gt;0.5,"OVERCHARGED",IF(K68&lt;-0.5,"UNDERBILLED","MATCH")))</f>
        <v/>
      </c>
    </row>
    <row r="69">
      <c r="A69" s="11">
        <f>IF('Settlement Data'!A69="","",'Settlement Data'!A69)</f>
        <v/>
      </c>
      <c r="B69" s="11">
        <f>IF('Settlement Data'!A69="","",'Settlement Data'!C69)</f>
        <v/>
      </c>
      <c r="C69" s="12">
        <f>IF('Settlement Data'!A69="","",'Settlement Data'!D69)</f>
        <v/>
      </c>
      <c r="D69" s="13">
        <f>IF('Settlement Data'!A69="","",INDEX('TDR Rate Card'!$B$4:$B$8,MATCH(B69,'TDR Rate Card'!$A$4:$A$8,0)))</f>
        <v/>
      </c>
      <c r="E69" s="14">
        <f>IF('Settlement Data'!A69="","",C69*D69)</f>
        <v/>
      </c>
      <c r="F69" s="12">
        <f>IF('Settlement Data'!A69="","",E69*INDEX('TDR Rate Card'!$C$4:$C$8,MATCH(B69,'TDR Rate Card'!$A$4:$A$8,0)))</f>
        <v/>
      </c>
      <c r="G69" s="14">
        <f>IF('Settlement Data'!A69="","",E69+F69)</f>
        <v/>
      </c>
      <c r="H69" s="12">
        <f>IF('Settlement Data'!A69="","",'Settlement Data'!E69)</f>
        <v/>
      </c>
      <c r="I69" s="12">
        <f>IF('Settlement Data'!A69="","",'Settlement Data'!F69)</f>
        <v/>
      </c>
      <c r="J69" s="14">
        <f>IF('Settlement Data'!A69="","",H69+I69)</f>
        <v/>
      </c>
      <c r="K69" s="14">
        <f>IF('Settlement Data'!A69="","",J69-G69)</f>
        <v/>
      </c>
      <c r="L69" s="6">
        <f>IF('Settlement Data'!A69="","",IF(K69&gt;0.5,"OVERCHARGED",IF(K69&lt;-0.5,"UNDERBILLED","MATCH")))</f>
        <v/>
      </c>
    </row>
    <row r="70">
      <c r="A70" s="11">
        <f>IF('Settlement Data'!A70="","",'Settlement Data'!A70)</f>
        <v/>
      </c>
      <c r="B70" s="11">
        <f>IF('Settlement Data'!A70="","",'Settlement Data'!C70)</f>
        <v/>
      </c>
      <c r="C70" s="12">
        <f>IF('Settlement Data'!A70="","",'Settlement Data'!D70)</f>
        <v/>
      </c>
      <c r="D70" s="13">
        <f>IF('Settlement Data'!A70="","",INDEX('TDR Rate Card'!$B$4:$B$8,MATCH(B70,'TDR Rate Card'!$A$4:$A$8,0)))</f>
        <v/>
      </c>
      <c r="E70" s="14">
        <f>IF('Settlement Data'!A70="","",C70*D70)</f>
        <v/>
      </c>
      <c r="F70" s="12">
        <f>IF('Settlement Data'!A70="","",E70*INDEX('TDR Rate Card'!$C$4:$C$8,MATCH(B70,'TDR Rate Card'!$A$4:$A$8,0)))</f>
        <v/>
      </c>
      <c r="G70" s="14">
        <f>IF('Settlement Data'!A70="","",E70+F70)</f>
        <v/>
      </c>
      <c r="H70" s="12">
        <f>IF('Settlement Data'!A70="","",'Settlement Data'!E70)</f>
        <v/>
      </c>
      <c r="I70" s="12">
        <f>IF('Settlement Data'!A70="","",'Settlement Data'!F70)</f>
        <v/>
      </c>
      <c r="J70" s="14">
        <f>IF('Settlement Data'!A70="","",H70+I70)</f>
        <v/>
      </c>
      <c r="K70" s="14">
        <f>IF('Settlement Data'!A70="","",J70-G70)</f>
        <v/>
      </c>
      <c r="L70" s="6">
        <f>IF('Settlement Data'!A70="","",IF(K70&gt;0.5,"OVERCHARGED",IF(K70&lt;-0.5,"UNDERBILLED","MATCH")))</f>
        <v/>
      </c>
    </row>
    <row r="71">
      <c r="A71" s="11">
        <f>IF('Settlement Data'!A71="","",'Settlement Data'!A71)</f>
        <v/>
      </c>
      <c r="B71" s="11">
        <f>IF('Settlement Data'!A71="","",'Settlement Data'!C71)</f>
        <v/>
      </c>
      <c r="C71" s="12">
        <f>IF('Settlement Data'!A71="","",'Settlement Data'!D71)</f>
        <v/>
      </c>
      <c r="D71" s="13">
        <f>IF('Settlement Data'!A71="","",INDEX('TDR Rate Card'!$B$4:$B$8,MATCH(B71,'TDR Rate Card'!$A$4:$A$8,0)))</f>
        <v/>
      </c>
      <c r="E71" s="14">
        <f>IF('Settlement Data'!A71="","",C71*D71)</f>
        <v/>
      </c>
      <c r="F71" s="12">
        <f>IF('Settlement Data'!A71="","",E71*INDEX('TDR Rate Card'!$C$4:$C$8,MATCH(B71,'TDR Rate Card'!$A$4:$A$8,0)))</f>
        <v/>
      </c>
      <c r="G71" s="14">
        <f>IF('Settlement Data'!A71="","",E71+F71)</f>
        <v/>
      </c>
      <c r="H71" s="12">
        <f>IF('Settlement Data'!A71="","",'Settlement Data'!E71)</f>
        <v/>
      </c>
      <c r="I71" s="12">
        <f>IF('Settlement Data'!A71="","",'Settlement Data'!F71)</f>
        <v/>
      </c>
      <c r="J71" s="14">
        <f>IF('Settlement Data'!A71="","",H71+I71)</f>
        <v/>
      </c>
      <c r="K71" s="14">
        <f>IF('Settlement Data'!A71="","",J71-G71)</f>
        <v/>
      </c>
      <c r="L71" s="6">
        <f>IF('Settlement Data'!A71="","",IF(K71&gt;0.5,"OVERCHARGED",IF(K71&lt;-0.5,"UNDERBILLED","MATCH")))</f>
        <v/>
      </c>
    </row>
    <row r="72">
      <c r="A72" s="11">
        <f>IF('Settlement Data'!A72="","",'Settlement Data'!A72)</f>
        <v/>
      </c>
      <c r="B72" s="11">
        <f>IF('Settlement Data'!A72="","",'Settlement Data'!C72)</f>
        <v/>
      </c>
      <c r="C72" s="12">
        <f>IF('Settlement Data'!A72="","",'Settlement Data'!D72)</f>
        <v/>
      </c>
      <c r="D72" s="13">
        <f>IF('Settlement Data'!A72="","",INDEX('TDR Rate Card'!$B$4:$B$8,MATCH(B72,'TDR Rate Card'!$A$4:$A$8,0)))</f>
        <v/>
      </c>
      <c r="E72" s="14">
        <f>IF('Settlement Data'!A72="","",C72*D72)</f>
        <v/>
      </c>
      <c r="F72" s="12">
        <f>IF('Settlement Data'!A72="","",E72*INDEX('TDR Rate Card'!$C$4:$C$8,MATCH(B72,'TDR Rate Card'!$A$4:$A$8,0)))</f>
        <v/>
      </c>
      <c r="G72" s="14">
        <f>IF('Settlement Data'!A72="","",E72+F72)</f>
        <v/>
      </c>
      <c r="H72" s="12">
        <f>IF('Settlement Data'!A72="","",'Settlement Data'!E72)</f>
        <v/>
      </c>
      <c r="I72" s="12">
        <f>IF('Settlement Data'!A72="","",'Settlement Data'!F72)</f>
        <v/>
      </c>
      <c r="J72" s="14">
        <f>IF('Settlement Data'!A72="","",H72+I72)</f>
        <v/>
      </c>
      <c r="K72" s="14">
        <f>IF('Settlement Data'!A72="","",J72-G72)</f>
        <v/>
      </c>
      <c r="L72" s="6">
        <f>IF('Settlement Data'!A72="","",IF(K72&gt;0.5,"OVERCHARGED",IF(K72&lt;-0.5,"UNDERBILLED","MATCH")))</f>
        <v/>
      </c>
    </row>
    <row r="73">
      <c r="A73" s="11">
        <f>IF('Settlement Data'!A73="","",'Settlement Data'!A73)</f>
        <v/>
      </c>
      <c r="B73" s="11">
        <f>IF('Settlement Data'!A73="","",'Settlement Data'!C73)</f>
        <v/>
      </c>
      <c r="C73" s="12">
        <f>IF('Settlement Data'!A73="","",'Settlement Data'!D73)</f>
        <v/>
      </c>
      <c r="D73" s="13">
        <f>IF('Settlement Data'!A73="","",INDEX('TDR Rate Card'!$B$4:$B$8,MATCH(B73,'TDR Rate Card'!$A$4:$A$8,0)))</f>
        <v/>
      </c>
      <c r="E73" s="14">
        <f>IF('Settlement Data'!A73="","",C73*D73)</f>
        <v/>
      </c>
      <c r="F73" s="12">
        <f>IF('Settlement Data'!A73="","",E73*INDEX('TDR Rate Card'!$C$4:$C$8,MATCH(B73,'TDR Rate Card'!$A$4:$A$8,0)))</f>
        <v/>
      </c>
      <c r="G73" s="14">
        <f>IF('Settlement Data'!A73="","",E73+F73)</f>
        <v/>
      </c>
      <c r="H73" s="12">
        <f>IF('Settlement Data'!A73="","",'Settlement Data'!E73)</f>
        <v/>
      </c>
      <c r="I73" s="12">
        <f>IF('Settlement Data'!A73="","",'Settlement Data'!F73)</f>
        <v/>
      </c>
      <c r="J73" s="14">
        <f>IF('Settlement Data'!A73="","",H73+I73)</f>
        <v/>
      </c>
      <c r="K73" s="14">
        <f>IF('Settlement Data'!A73="","",J73-G73)</f>
        <v/>
      </c>
      <c r="L73" s="6">
        <f>IF('Settlement Data'!A73="","",IF(K73&gt;0.5,"OVERCHARGED",IF(K73&lt;-0.5,"UNDERBILLED","MATCH")))</f>
        <v/>
      </c>
    </row>
    <row r="74">
      <c r="A74" s="11">
        <f>IF('Settlement Data'!A74="","",'Settlement Data'!A74)</f>
        <v/>
      </c>
      <c r="B74" s="11">
        <f>IF('Settlement Data'!A74="","",'Settlement Data'!C74)</f>
        <v/>
      </c>
      <c r="C74" s="12">
        <f>IF('Settlement Data'!A74="","",'Settlement Data'!D74)</f>
        <v/>
      </c>
      <c r="D74" s="13">
        <f>IF('Settlement Data'!A74="","",INDEX('TDR Rate Card'!$B$4:$B$8,MATCH(B74,'TDR Rate Card'!$A$4:$A$8,0)))</f>
        <v/>
      </c>
      <c r="E74" s="14">
        <f>IF('Settlement Data'!A74="","",C74*D74)</f>
        <v/>
      </c>
      <c r="F74" s="12">
        <f>IF('Settlement Data'!A74="","",E74*INDEX('TDR Rate Card'!$C$4:$C$8,MATCH(B74,'TDR Rate Card'!$A$4:$A$8,0)))</f>
        <v/>
      </c>
      <c r="G74" s="14">
        <f>IF('Settlement Data'!A74="","",E74+F74)</f>
        <v/>
      </c>
      <c r="H74" s="12">
        <f>IF('Settlement Data'!A74="","",'Settlement Data'!E74)</f>
        <v/>
      </c>
      <c r="I74" s="12">
        <f>IF('Settlement Data'!A74="","",'Settlement Data'!F74)</f>
        <v/>
      </c>
      <c r="J74" s="14">
        <f>IF('Settlement Data'!A74="","",H74+I74)</f>
        <v/>
      </c>
      <c r="K74" s="14">
        <f>IF('Settlement Data'!A74="","",J74-G74)</f>
        <v/>
      </c>
      <c r="L74" s="6">
        <f>IF('Settlement Data'!A74="","",IF(K74&gt;0.5,"OVERCHARGED",IF(K74&lt;-0.5,"UNDERBILLED","MATCH")))</f>
        <v/>
      </c>
    </row>
    <row r="75">
      <c r="A75" s="11">
        <f>IF('Settlement Data'!A75="","",'Settlement Data'!A75)</f>
        <v/>
      </c>
      <c r="B75" s="11">
        <f>IF('Settlement Data'!A75="","",'Settlement Data'!C75)</f>
        <v/>
      </c>
      <c r="C75" s="12">
        <f>IF('Settlement Data'!A75="","",'Settlement Data'!D75)</f>
        <v/>
      </c>
      <c r="D75" s="13">
        <f>IF('Settlement Data'!A75="","",INDEX('TDR Rate Card'!$B$4:$B$8,MATCH(B75,'TDR Rate Card'!$A$4:$A$8,0)))</f>
        <v/>
      </c>
      <c r="E75" s="14">
        <f>IF('Settlement Data'!A75="","",C75*D75)</f>
        <v/>
      </c>
      <c r="F75" s="12">
        <f>IF('Settlement Data'!A75="","",E75*INDEX('TDR Rate Card'!$C$4:$C$8,MATCH(B75,'TDR Rate Card'!$A$4:$A$8,0)))</f>
        <v/>
      </c>
      <c r="G75" s="14">
        <f>IF('Settlement Data'!A75="","",E75+F75)</f>
        <v/>
      </c>
      <c r="H75" s="12">
        <f>IF('Settlement Data'!A75="","",'Settlement Data'!E75)</f>
        <v/>
      </c>
      <c r="I75" s="12">
        <f>IF('Settlement Data'!A75="","",'Settlement Data'!F75)</f>
        <v/>
      </c>
      <c r="J75" s="14">
        <f>IF('Settlement Data'!A75="","",H75+I75)</f>
        <v/>
      </c>
      <c r="K75" s="14">
        <f>IF('Settlement Data'!A75="","",J75-G75)</f>
        <v/>
      </c>
      <c r="L75" s="6">
        <f>IF('Settlement Data'!A75="","",IF(K75&gt;0.5,"OVERCHARGED",IF(K75&lt;-0.5,"UNDERBILLED","MATCH")))</f>
        <v/>
      </c>
    </row>
    <row r="76">
      <c r="A76" s="11">
        <f>IF('Settlement Data'!A76="","",'Settlement Data'!A76)</f>
        <v/>
      </c>
      <c r="B76" s="11">
        <f>IF('Settlement Data'!A76="","",'Settlement Data'!C76)</f>
        <v/>
      </c>
      <c r="C76" s="12">
        <f>IF('Settlement Data'!A76="","",'Settlement Data'!D76)</f>
        <v/>
      </c>
      <c r="D76" s="13">
        <f>IF('Settlement Data'!A76="","",INDEX('TDR Rate Card'!$B$4:$B$8,MATCH(B76,'TDR Rate Card'!$A$4:$A$8,0)))</f>
        <v/>
      </c>
      <c r="E76" s="14">
        <f>IF('Settlement Data'!A76="","",C76*D76)</f>
        <v/>
      </c>
      <c r="F76" s="12">
        <f>IF('Settlement Data'!A76="","",E76*INDEX('TDR Rate Card'!$C$4:$C$8,MATCH(B76,'TDR Rate Card'!$A$4:$A$8,0)))</f>
        <v/>
      </c>
      <c r="G76" s="14">
        <f>IF('Settlement Data'!A76="","",E76+F76)</f>
        <v/>
      </c>
      <c r="H76" s="12">
        <f>IF('Settlement Data'!A76="","",'Settlement Data'!E76)</f>
        <v/>
      </c>
      <c r="I76" s="12">
        <f>IF('Settlement Data'!A76="","",'Settlement Data'!F76)</f>
        <v/>
      </c>
      <c r="J76" s="14">
        <f>IF('Settlement Data'!A76="","",H76+I76)</f>
        <v/>
      </c>
      <c r="K76" s="14">
        <f>IF('Settlement Data'!A76="","",J76-G76)</f>
        <v/>
      </c>
      <c r="L76" s="6">
        <f>IF('Settlement Data'!A76="","",IF(K76&gt;0.5,"OVERCHARGED",IF(K76&lt;-0.5,"UNDERBILLED","MATCH")))</f>
        <v/>
      </c>
    </row>
    <row r="77">
      <c r="A77" s="11">
        <f>IF('Settlement Data'!A77="","",'Settlement Data'!A77)</f>
        <v/>
      </c>
      <c r="B77" s="11">
        <f>IF('Settlement Data'!A77="","",'Settlement Data'!C77)</f>
        <v/>
      </c>
      <c r="C77" s="12">
        <f>IF('Settlement Data'!A77="","",'Settlement Data'!D77)</f>
        <v/>
      </c>
      <c r="D77" s="13">
        <f>IF('Settlement Data'!A77="","",INDEX('TDR Rate Card'!$B$4:$B$8,MATCH(B77,'TDR Rate Card'!$A$4:$A$8,0)))</f>
        <v/>
      </c>
      <c r="E77" s="14">
        <f>IF('Settlement Data'!A77="","",C77*D77)</f>
        <v/>
      </c>
      <c r="F77" s="12">
        <f>IF('Settlement Data'!A77="","",E77*INDEX('TDR Rate Card'!$C$4:$C$8,MATCH(B77,'TDR Rate Card'!$A$4:$A$8,0)))</f>
        <v/>
      </c>
      <c r="G77" s="14">
        <f>IF('Settlement Data'!A77="","",E77+F77)</f>
        <v/>
      </c>
      <c r="H77" s="12">
        <f>IF('Settlement Data'!A77="","",'Settlement Data'!E77)</f>
        <v/>
      </c>
      <c r="I77" s="12">
        <f>IF('Settlement Data'!A77="","",'Settlement Data'!F77)</f>
        <v/>
      </c>
      <c r="J77" s="14">
        <f>IF('Settlement Data'!A77="","",H77+I77)</f>
        <v/>
      </c>
      <c r="K77" s="14">
        <f>IF('Settlement Data'!A77="","",J77-G77)</f>
        <v/>
      </c>
      <c r="L77" s="6">
        <f>IF('Settlement Data'!A77="","",IF(K77&gt;0.5,"OVERCHARGED",IF(K77&lt;-0.5,"UNDERBILLED","MATCH")))</f>
        <v/>
      </c>
    </row>
    <row r="78">
      <c r="A78" s="11">
        <f>IF('Settlement Data'!A78="","",'Settlement Data'!A78)</f>
        <v/>
      </c>
      <c r="B78" s="11">
        <f>IF('Settlement Data'!A78="","",'Settlement Data'!C78)</f>
        <v/>
      </c>
      <c r="C78" s="12">
        <f>IF('Settlement Data'!A78="","",'Settlement Data'!D78)</f>
        <v/>
      </c>
      <c r="D78" s="13">
        <f>IF('Settlement Data'!A78="","",INDEX('TDR Rate Card'!$B$4:$B$8,MATCH(B78,'TDR Rate Card'!$A$4:$A$8,0)))</f>
        <v/>
      </c>
      <c r="E78" s="14">
        <f>IF('Settlement Data'!A78="","",C78*D78)</f>
        <v/>
      </c>
      <c r="F78" s="12">
        <f>IF('Settlement Data'!A78="","",E78*INDEX('TDR Rate Card'!$C$4:$C$8,MATCH(B78,'TDR Rate Card'!$A$4:$A$8,0)))</f>
        <v/>
      </c>
      <c r="G78" s="14">
        <f>IF('Settlement Data'!A78="","",E78+F78)</f>
        <v/>
      </c>
      <c r="H78" s="12">
        <f>IF('Settlement Data'!A78="","",'Settlement Data'!E78)</f>
        <v/>
      </c>
      <c r="I78" s="12">
        <f>IF('Settlement Data'!A78="","",'Settlement Data'!F78)</f>
        <v/>
      </c>
      <c r="J78" s="14">
        <f>IF('Settlement Data'!A78="","",H78+I78)</f>
        <v/>
      </c>
      <c r="K78" s="14">
        <f>IF('Settlement Data'!A78="","",J78-G78)</f>
        <v/>
      </c>
      <c r="L78" s="6">
        <f>IF('Settlement Data'!A78="","",IF(K78&gt;0.5,"OVERCHARGED",IF(K78&lt;-0.5,"UNDERBILLED","MATCH")))</f>
        <v/>
      </c>
    </row>
    <row r="79">
      <c r="A79" s="11">
        <f>IF('Settlement Data'!A79="","",'Settlement Data'!A79)</f>
        <v/>
      </c>
      <c r="B79" s="11">
        <f>IF('Settlement Data'!A79="","",'Settlement Data'!C79)</f>
        <v/>
      </c>
      <c r="C79" s="12">
        <f>IF('Settlement Data'!A79="","",'Settlement Data'!D79)</f>
        <v/>
      </c>
      <c r="D79" s="13">
        <f>IF('Settlement Data'!A79="","",INDEX('TDR Rate Card'!$B$4:$B$8,MATCH(B79,'TDR Rate Card'!$A$4:$A$8,0)))</f>
        <v/>
      </c>
      <c r="E79" s="14">
        <f>IF('Settlement Data'!A79="","",C79*D79)</f>
        <v/>
      </c>
      <c r="F79" s="12">
        <f>IF('Settlement Data'!A79="","",E79*INDEX('TDR Rate Card'!$C$4:$C$8,MATCH(B79,'TDR Rate Card'!$A$4:$A$8,0)))</f>
        <v/>
      </c>
      <c r="G79" s="14">
        <f>IF('Settlement Data'!A79="","",E79+F79)</f>
        <v/>
      </c>
      <c r="H79" s="12">
        <f>IF('Settlement Data'!A79="","",'Settlement Data'!E79)</f>
        <v/>
      </c>
      <c r="I79" s="12">
        <f>IF('Settlement Data'!A79="","",'Settlement Data'!F79)</f>
        <v/>
      </c>
      <c r="J79" s="14">
        <f>IF('Settlement Data'!A79="","",H79+I79)</f>
        <v/>
      </c>
      <c r="K79" s="14">
        <f>IF('Settlement Data'!A79="","",J79-G79)</f>
        <v/>
      </c>
      <c r="L79" s="6">
        <f>IF('Settlement Data'!A79="","",IF(K79&gt;0.5,"OVERCHARGED",IF(K79&lt;-0.5,"UNDERBILLED","MATCH")))</f>
        <v/>
      </c>
    </row>
    <row r="80">
      <c r="A80" s="11">
        <f>IF('Settlement Data'!A80="","",'Settlement Data'!A80)</f>
        <v/>
      </c>
      <c r="B80" s="11">
        <f>IF('Settlement Data'!A80="","",'Settlement Data'!C80)</f>
        <v/>
      </c>
      <c r="C80" s="12">
        <f>IF('Settlement Data'!A80="","",'Settlement Data'!D80)</f>
        <v/>
      </c>
      <c r="D80" s="13">
        <f>IF('Settlement Data'!A80="","",INDEX('TDR Rate Card'!$B$4:$B$8,MATCH(B80,'TDR Rate Card'!$A$4:$A$8,0)))</f>
        <v/>
      </c>
      <c r="E80" s="14">
        <f>IF('Settlement Data'!A80="","",C80*D80)</f>
        <v/>
      </c>
      <c r="F80" s="12">
        <f>IF('Settlement Data'!A80="","",E80*INDEX('TDR Rate Card'!$C$4:$C$8,MATCH(B80,'TDR Rate Card'!$A$4:$A$8,0)))</f>
        <v/>
      </c>
      <c r="G80" s="14">
        <f>IF('Settlement Data'!A80="","",E80+F80)</f>
        <v/>
      </c>
      <c r="H80" s="12">
        <f>IF('Settlement Data'!A80="","",'Settlement Data'!E80)</f>
        <v/>
      </c>
      <c r="I80" s="12">
        <f>IF('Settlement Data'!A80="","",'Settlement Data'!F80)</f>
        <v/>
      </c>
      <c r="J80" s="14">
        <f>IF('Settlement Data'!A80="","",H80+I80)</f>
        <v/>
      </c>
      <c r="K80" s="14">
        <f>IF('Settlement Data'!A80="","",J80-G80)</f>
        <v/>
      </c>
      <c r="L80" s="6">
        <f>IF('Settlement Data'!A80="","",IF(K80&gt;0.5,"OVERCHARGED",IF(K80&lt;-0.5,"UNDERBILLED","MATCH")))</f>
        <v/>
      </c>
    </row>
    <row r="81">
      <c r="A81" s="11">
        <f>IF('Settlement Data'!A81="","",'Settlement Data'!A81)</f>
        <v/>
      </c>
      <c r="B81" s="11">
        <f>IF('Settlement Data'!A81="","",'Settlement Data'!C81)</f>
        <v/>
      </c>
      <c r="C81" s="12">
        <f>IF('Settlement Data'!A81="","",'Settlement Data'!D81)</f>
        <v/>
      </c>
      <c r="D81" s="13">
        <f>IF('Settlement Data'!A81="","",INDEX('TDR Rate Card'!$B$4:$B$8,MATCH(B81,'TDR Rate Card'!$A$4:$A$8,0)))</f>
        <v/>
      </c>
      <c r="E81" s="14">
        <f>IF('Settlement Data'!A81="","",C81*D81)</f>
        <v/>
      </c>
      <c r="F81" s="12">
        <f>IF('Settlement Data'!A81="","",E81*INDEX('TDR Rate Card'!$C$4:$C$8,MATCH(B81,'TDR Rate Card'!$A$4:$A$8,0)))</f>
        <v/>
      </c>
      <c r="G81" s="14">
        <f>IF('Settlement Data'!A81="","",E81+F81)</f>
        <v/>
      </c>
      <c r="H81" s="12">
        <f>IF('Settlement Data'!A81="","",'Settlement Data'!E81)</f>
        <v/>
      </c>
      <c r="I81" s="12">
        <f>IF('Settlement Data'!A81="","",'Settlement Data'!F81)</f>
        <v/>
      </c>
      <c r="J81" s="14">
        <f>IF('Settlement Data'!A81="","",H81+I81)</f>
        <v/>
      </c>
      <c r="K81" s="14">
        <f>IF('Settlement Data'!A81="","",J81-G81)</f>
        <v/>
      </c>
      <c r="L81" s="6">
        <f>IF('Settlement Data'!A81="","",IF(K81&gt;0.5,"OVERCHARGED",IF(K81&lt;-0.5,"UNDERBILLED","MATCH")))</f>
        <v/>
      </c>
    </row>
    <row r="82">
      <c r="A82" s="11">
        <f>IF('Settlement Data'!A82="","",'Settlement Data'!A82)</f>
        <v/>
      </c>
      <c r="B82" s="11">
        <f>IF('Settlement Data'!A82="","",'Settlement Data'!C82)</f>
        <v/>
      </c>
      <c r="C82" s="12">
        <f>IF('Settlement Data'!A82="","",'Settlement Data'!D82)</f>
        <v/>
      </c>
      <c r="D82" s="13">
        <f>IF('Settlement Data'!A82="","",INDEX('TDR Rate Card'!$B$4:$B$8,MATCH(B82,'TDR Rate Card'!$A$4:$A$8,0)))</f>
        <v/>
      </c>
      <c r="E82" s="14">
        <f>IF('Settlement Data'!A82="","",C82*D82)</f>
        <v/>
      </c>
      <c r="F82" s="12">
        <f>IF('Settlement Data'!A82="","",E82*INDEX('TDR Rate Card'!$C$4:$C$8,MATCH(B82,'TDR Rate Card'!$A$4:$A$8,0)))</f>
        <v/>
      </c>
      <c r="G82" s="14">
        <f>IF('Settlement Data'!A82="","",E82+F82)</f>
        <v/>
      </c>
      <c r="H82" s="12">
        <f>IF('Settlement Data'!A82="","",'Settlement Data'!E82)</f>
        <v/>
      </c>
      <c r="I82" s="12">
        <f>IF('Settlement Data'!A82="","",'Settlement Data'!F82)</f>
        <v/>
      </c>
      <c r="J82" s="14">
        <f>IF('Settlement Data'!A82="","",H82+I82)</f>
        <v/>
      </c>
      <c r="K82" s="14">
        <f>IF('Settlement Data'!A82="","",J82-G82)</f>
        <v/>
      </c>
      <c r="L82" s="6">
        <f>IF('Settlement Data'!A82="","",IF(K82&gt;0.5,"OVERCHARGED",IF(K82&lt;-0.5,"UNDERBILLED","MATCH")))</f>
        <v/>
      </c>
    </row>
    <row r="83">
      <c r="A83" s="11">
        <f>IF('Settlement Data'!A83="","",'Settlement Data'!A83)</f>
        <v/>
      </c>
      <c r="B83" s="11">
        <f>IF('Settlement Data'!A83="","",'Settlement Data'!C83)</f>
        <v/>
      </c>
      <c r="C83" s="12">
        <f>IF('Settlement Data'!A83="","",'Settlement Data'!D83)</f>
        <v/>
      </c>
      <c r="D83" s="13">
        <f>IF('Settlement Data'!A83="","",INDEX('TDR Rate Card'!$B$4:$B$8,MATCH(B83,'TDR Rate Card'!$A$4:$A$8,0)))</f>
        <v/>
      </c>
      <c r="E83" s="14">
        <f>IF('Settlement Data'!A83="","",C83*D83)</f>
        <v/>
      </c>
      <c r="F83" s="12">
        <f>IF('Settlement Data'!A83="","",E83*INDEX('TDR Rate Card'!$C$4:$C$8,MATCH(B83,'TDR Rate Card'!$A$4:$A$8,0)))</f>
        <v/>
      </c>
      <c r="G83" s="14">
        <f>IF('Settlement Data'!A83="","",E83+F83)</f>
        <v/>
      </c>
      <c r="H83" s="12">
        <f>IF('Settlement Data'!A83="","",'Settlement Data'!E83)</f>
        <v/>
      </c>
      <c r="I83" s="12">
        <f>IF('Settlement Data'!A83="","",'Settlement Data'!F83)</f>
        <v/>
      </c>
      <c r="J83" s="14">
        <f>IF('Settlement Data'!A83="","",H83+I83)</f>
        <v/>
      </c>
      <c r="K83" s="14">
        <f>IF('Settlement Data'!A83="","",J83-G83)</f>
        <v/>
      </c>
      <c r="L83" s="6">
        <f>IF('Settlement Data'!A83="","",IF(K83&gt;0.5,"OVERCHARGED",IF(K83&lt;-0.5,"UNDERBILLED","MATCH")))</f>
        <v/>
      </c>
    </row>
    <row r="84">
      <c r="A84" s="11">
        <f>IF('Settlement Data'!A84="","",'Settlement Data'!A84)</f>
        <v/>
      </c>
      <c r="B84" s="11">
        <f>IF('Settlement Data'!A84="","",'Settlement Data'!C84)</f>
        <v/>
      </c>
      <c r="C84" s="12">
        <f>IF('Settlement Data'!A84="","",'Settlement Data'!D84)</f>
        <v/>
      </c>
      <c r="D84" s="13">
        <f>IF('Settlement Data'!A84="","",INDEX('TDR Rate Card'!$B$4:$B$8,MATCH(B84,'TDR Rate Card'!$A$4:$A$8,0)))</f>
        <v/>
      </c>
      <c r="E84" s="14">
        <f>IF('Settlement Data'!A84="","",C84*D84)</f>
        <v/>
      </c>
      <c r="F84" s="12">
        <f>IF('Settlement Data'!A84="","",E84*INDEX('TDR Rate Card'!$C$4:$C$8,MATCH(B84,'TDR Rate Card'!$A$4:$A$8,0)))</f>
        <v/>
      </c>
      <c r="G84" s="14">
        <f>IF('Settlement Data'!A84="","",E84+F84)</f>
        <v/>
      </c>
      <c r="H84" s="12">
        <f>IF('Settlement Data'!A84="","",'Settlement Data'!E84)</f>
        <v/>
      </c>
      <c r="I84" s="12">
        <f>IF('Settlement Data'!A84="","",'Settlement Data'!F84)</f>
        <v/>
      </c>
      <c r="J84" s="14">
        <f>IF('Settlement Data'!A84="","",H84+I84)</f>
        <v/>
      </c>
      <c r="K84" s="14">
        <f>IF('Settlement Data'!A84="","",J84-G84)</f>
        <v/>
      </c>
      <c r="L84" s="6">
        <f>IF('Settlement Data'!A84="","",IF(K84&gt;0.5,"OVERCHARGED",IF(K84&lt;-0.5,"UNDERBILLED","MATCH")))</f>
        <v/>
      </c>
    </row>
    <row r="85">
      <c r="A85" s="11">
        <f>IF('Settlement Data'!A85="","",'Settlement Data'!A85)</f>
        <v/>
      </c>
      <c r="B85" s="11">
        <f>IF('Settlement Data'!A85="","",'Settlement Data'!C85)</f>
        <v/>
      </c>
      <c r="C85" s="12">
        <f>IF('Settlement Data'!A85="","",'Settlement Data'!D85)</f>
        <v/>
      </c>
      <c r="D85" s="13">
        <f>IF('Settlement Data'!A85="","",INDEX('TDR Rate Card'!$B$4:$B$8,MATCH(B85,'TDR Rate Card'!$A$4:$A$8,0)))</f>
        <v/>
      </c>
      <c r="E85" s="14">
        <f>IF('Settlement Data'!A85="","",C85*D85)</f>
        <v/>
      </c>
      <c r="F85" s="12">
        <f>IF('Settlement Data'!A85="","",E85*INDEX('TDR Rate Card'!$C$4:$C$8,MATCH(B85,'TDR Rate Card'!$A$4:$A$8,0)))</f>
        <v/>
      </c>
      <c r="G85" s="14">
        <f>IF('Settlement Data'!A85="","",E85+F85)</f>
        <v/>
      </c>
      <c r="H85" s="12">
        <f>IF('Settlement Data'!A85="","",'Settlement Data'!E85)</f>
        <v/>
      </c>
      <c r="I85" s="12">
        <f>IF('Settlement Data'!A85="","",'Settlement Data'!F85)</f>
        <v/>
      </c>
      <c r="J85" s="14">
        <f>IF('Settlement Data'!A85="","",H85+I85)</f>
        <v/>
      </c>
      <c r="K85" s="14">
        <f>IF('Settlement Data'!A85="","",J85-G85)</f>
        <v/>
      </c>
      <c r="L85" s="6">
        <f>IF('Settlement Data'!A85="","",IF(K85&gt;0.5,"OVERCHARGED",IF(K85&lt;-0.5,"UNDERBILLED","MATCH")))</f>
        <v/>
      </c>
    </row>
    <row r="86">
      <c r="A86" s="11">
        <f>IF('Settlement Data'!A86="","",'Settlement Data'!A86)</f>
        <v/>
      </c>
      <c r="B86" s="11">
        <f>IF('Settlement Data'!A86="","",'Settlement Data'!C86)</f>
        <v/>
      </c>
      <c r="C86" s="12">
        <f>IF('Settlement Data'!A86="","",'Settlement Data'!D86)</f>
        <v/>
      </c>
      <c r="D86" s="13">
        <f>IF('Settlement Data'!A86="","",INDEX('TDR Rate Card'!$B$4:$B$8,MATCH(B86,'TDR Rate Card'!$A$4:$A$8,0)))</f>
        <v/>
      </c>
      <c r="E86" s="14">
        <f>IF('Settlement Data'!A86="","",C86*D86)</f>
        <v/>
      </c>
      <c r="F86" s="12">
        <f>IF('Settlement Data'!A86="","",E86*INDEX('TDR Rate Card'!$C$4:$C$8,MATCH(B86,'TDR Rate Card'!$A$4:$A$8,0)))</f>
        <v/>
      </c>
      <c r="G86" s="14">
        <f>IF('Settlement Data'!A86="","",E86+F86)</f>
        <v/>
      </c>
      <c r="H86" s="12">
        <f>IF('Settlement Data'!A86="","",'Settlement Data'!E86)</f>
        <v/>
      </c>
      <c r="I86" s="12">
        <f>IF('Settlement Data'!A86="","",'Settlement Data'!F86)</f>
        <v/>
      </c>
      <c r="J86" s="14">
        <f>IF('Settlement Data'!A86="","",H86+I86)</f>
        <v/>
      </c>
      <c r="K86" s="14">
        <f>IF('Settlement Data'!A86="","",J86-G86)</f>
        <v/>
      </c>
      <c r="L86" s="6">
        <f>IF('Settlement Data'!A86="","",IF(K86&gt;0.5,"OVERCHARGED",IF(K86&lt;-0.5,"UNDERBILLED","MATCH")))</f>
        <v/>
      </c>
    </row>
    <row r="87">
      <c r="A87" s="11">
        <f>IF('Settlement Data'!A87="","",'Settlement Data'!A87)</f>
        <v/>
      </c>
      <c r="B87" s="11">
        <f>IF('Settlement Data'!A87="","",'Settlement Data'!C87)</f>
        <v/>
      </c>
      <c r="C87" s="12">
        <f>IF('Settlement Data'!A87="","",'Settlement Data'!D87)</f>
        <v/>
      </c>
      <c r="D87" s="13">
        <f>IF('Settlement Data'!A87="","",INDEX('TDR Rate Card'!$B$4:$B$8,MATCH(B87,'TDR Rate Card'!$A$4:$A$8,0)))</f>
        <v/>
      </c>
      <c r="E87" s="14">
        <f>IF('Settlement Data'!A87="","",C87*D87)</f>
        <v/>
      </c>
      <c r="F87" s="12">
        <f>IF('Settlement Data'!A87="","",E87*INDEX('TDR Rate Card'!$C$4:$C$8,MATCH(B87,'TDR Rate Card'!$A$4:$A$8,0)))</f>
        <v/>
      </c>
      <c r="G87" s="14">
        <f>IF('Settlement Data'!A87="","",E87+F87)</f>
        <v/>
      </c>
      <c r="H87" s="12">
        <f>IF('Settlement Data'!A87="","",'Settlement Data'!E87)</f>
        <v/>
      </c>
      <c r="I87" s="12">
        <f>IF('Settlement Data'!A87="","",'Settlement Data'!F87)</f>
        <v/>
      </c>
      <c r="J87" s="14">
        <f>IF('Settlement Data'!A87="","",H87+I87)</f>
        <v/>
      </c>
      <c r="K87" s="14">
        <f>IF('Settlement Data'!A87="","",J87-G87)</f>
        <v/>
      </c>
      <c r="L87" s="6">
        <f>IF('Settlement Data'!A87="","",IF(K87&gt;0.5,"OVERCHARGED",IF(K87&lt;-0.5,"UNDERBILLED","MATCH")))</f>
        <v/>
      </c>
    </row>
    <row r="88">
      <c r="A88" s="11">
        <f>IF('Settlement Data'!A88="","",'Settlement Data'!A88)</f>
        <v/>
      </c>
      <c r="B88" s="11">
        <f>IF('Settlement Data'!A88="","",'Settlement Data'!C88)</f>
        <v/>
      </c>
      <c r="C88" s="12">
        <f>IF('Settlement Data'!A88="","",'Settlement Data'!D88)</f>
        <v/>
      </c>
      <c r="D88" s="13">
        <f>IF('Settlement Data'!A88="","",INDEX('TDR Rate Card'!$B$4:$B$8,MATCH(B88,'TDR Rate Card'!$A$4:$A$8,0)))</f>
        <v/>
      </c>
      <c r="E88" s="14">
        <f>IF('Settlement Data'!A88="","",C88*D88)</f>
        <v/>
      </c>
      <c r="F88" s="12">
        <f>IF('Settlement Data'!A88="","",E88*INDEX('TDR Rate Card'!$C$4:$C$8,MATCH(B88,'TDR Rate Card'!$A$4:$A$8,0)))</f>
        <v/>
      </c>
      <c r="G88" s="14">
        <f>IF('Settlement Data'!A88="","",E88+F88)</f>
        <v/>
      </c>
      <c r="H88" s="12">
        <f>IF('Settlement Data'!A88="","",'Settlement Data'!E88)</f>
        <v/>
      </c>
      <c r="I88" s="12">
        <f>IF('Settlement Data'!A88="","",'Settlement Data'!F88)</f>
        <v/>
      </c>
      <c r="J88" s="14">
        <f>IF('Settlement Data'!A88="","",H88+I88)</f>
        <v/>
      </c>
      <c r="K88" s="14">
        <f>IF('Settlement Data'!A88="","",J88-G88)</f>
        <v/>
      </c>
      <c r="L88" s="6">
        <f>IF('Settlement Data'!A88="","",IF(K88&gt;0.5,"OVERCHARGED",IF(K88&lt;-0.5,"UNDERBILLED","MATCH")))</f>
        <v/>
      </c>
    </row>
    <row r="89">
      <c r="A89" s="11">
        <f>IF('Settlement Data'!A89="","",'Settlement Data'!A89)</f>
        <v/>
      </c>
      <c r="B89" s="11">
        <f>IF('Settlement Data'!A89="","",'Settlement Data'!C89)</f>
        <v/>
      </c>
      <c r="C89" s="12">
        <f>IF('Settlement Data'!A89="","",'Settlement Data'!D89)</f>
        <v/>
      </c>
      <c r="D89" s="13">
        <f>IF('Settlement Data'!A89="","",INDEX('TDR Rate Card'!$B$4:$B$8,MATCH(B89,'TDR Rate Card'!$A$4:$A$8,0)))</f>
        <v/>
      </c>
      <c r="E89" s="14">
        <f>IF('Settlement Data'!A89="","",C89*D89)</f>
        <v/>
      </c>
      <c r="F89" s="12">
        <f>IF('Settlement Data'!A89="","",E89*INDEX('TDR Rate Card'!$C$4:$C$8,MATCH(B89,'TDR Rate Card'!$A$4:$A$8,0)))</f>
        <v/>
      </c>
      <c r="G89" s="14">
        <f>IF('Settlement Data'!A89="","",E89+F89)</f>
        <v/>
      </c>
      <c r="H89" s="12">
        <f>IF('Settlement Data'!A89="","",'Settlement Data'!E89)</f>
        <v/>
      </c>
      <c r="I89" s="12">
        <f>IF('Settlement Data'!A89="","",'Settlement Data'!F89)</f>
        <v/>
      </c>
      <c r="J89" s="14">
        <f>IF('Settlement Data'!A89="","",H89+I89)</f>
        <v/>
      </c>
      <c r="K89" s="14">
        <f>IF('Settlement Data'!A89="","",J89-G89)</f>
        <v/>
      </c>
      <c r="L89" s="6">
        <f>IF('Settlement Data'!A89="","",IF(K89&gt;0.5,"OVERCHARGED",IF(K89&lt;-0.5,"UNDERBILLED","MATCH")))</f>
        <v/>
      </c>
    </row>
    <row r="90">
      <c r="A90" s="11">
        <f>IF('Settlement Data'!A90="","",'Settlement Data'!A90)</f>
        <v/>
      </c>
      <c r="B90" s="11">
        <f>IF('Settlement Data'!A90="","",'Settlement Data'!C90)</f>
        <v/>
      </c>
      <c r="C90" s="12">
        <f>IF('Settlement Data'!A90="","",'Settlement Data'!D90)</f>
        <v/>
      </c>
      <c r="D90" s="13">
        <f>IF('Settlement Data'!A90="","",INDEX('TDR Rate Card'!$B$4:$B$8,MATCH(B90,'TDR Rate Card'!$A$4:$A$8,0)))</f>
        <v/>
      </c>
      <c r="E90" s="14">
        <f>IF('Settlement Data'!A90="","",C90*D90)</f>
        <v/>
      </c>
      <c r="F90" s="12">
        <f>IF('Settlement Data'!A90="","",E90*INDEX('TDR Rate Card'!$C$4:$C$8,MATCH(B90,'TDR Rate Card'!$A$4:$A$8,0)))</f>
        <v/>
      </c>
      <c r="G90" s="14">
        <f>IF('Settlement Data'!A90="","",E90+F90)</f>
        <v/>
      </c>
      <c r="H90" s="12">
        <f>IF('Settlement Data'!A90="","",'Settlement Data'!E90)</f>
        <v/>
      </c>
      <c r="I90" s="12">
        <f>IF('Settlement Data'!A90="","",'Settlement Data'!F90)</f>
        <v/>
      </c>
      <c r="J90" s="14">
        <f>IF('Settlement Data'!A90="","",H90+I90)</f>
        <v/>
      </c>
      <c r="K90" s="14">
        <f>IF('Settlement Data'!A90="","",J90-G90)</f>
        <v/>
      </c>
      <c r="L90" s="6">
        <f>IF('Settlement Data'!A90="","",IF(K90&gt;0.5,"OVERCHARGED",IF(K90&lt;-0.5,"UNDERBILLED","MATCH")))</f>
        <v/>
      </c>
    </row>
    <row r="91">
      <c r="A91" s="11">
        <f>IF('Settlement Data'!A91="","",'Settlement Data'!A91)</f>
        <v/>
      </c>
      <c r="B91" s="11">
        <f>IF('Settlement Data'!A91="","",'Settlement Data'!C91)</f>
        <v/>
      </c>
      <c r="C91" s="12">
        <f>IF('Settlement Data'!A91="","",'Settlement Data'!D91)</f>
        <v/>
      </c>
      <c r="D91" s="13">
        <f>IF('Settlement Data'!A91="","",INDEX('TDR Rate Card'!$B$4:$B$8,MATCH(B91,'TDR Rate Card'!$A$4:$A$8,0)))</f>
        <v/>
      </c>
      <c r="E91" s="14">
        <f>IF('Settlement Data'!A91="","",C91*D91)</f>
        <v/>
      </c>
      <c r="F91" s="12">
        <f>IF('Settlement Data'!A91="","",E91*INDEX('TDR Rate Card'!$C$4:$C$8,MATCH(B91,'TDR Rate Card'!$A$4:$A$8,0)))</f>
        <v/>
      </c>
      <c r="G91" s="14">
        <f>IF('Settlement Data'!A91="","",E91+F91)</f>
        <v/>
      </c>
      <c r="H91" s="12">
        <f>IF('Settlement Data'!A91="","",'Settlement Data'!E91)</f>
        <v/>
      </c>
      <c r="I91" s="12">
        <f>IF('Settlement Data'!A91="","",'Settlement Data'!F91)</f>
        <v/>
      </c>
      <c r="J91" s="14">
        <f>IF('Settlement Data'!A91="","",H91+I91)</f>
        <v/>
      </c>
      <c r="K91" s="14">
        <f>IF('Settlement Data'!A91="","",J91-G91)</f>
        <v/>
      </c>
      <c r="L91" s="6">
        <f>IF('Settlement Data'!A91="","",IF(K91&gt;0.5,"OVERCHARGED",IF(K91&lt;-0.5,"UNDERBILLED","MATCH")))</f>
        <v/>
      </c>
    </row>
    <row r="92">
      <c r="A92" s="11">
        <f>IF('Settlement Data'!A92="","",'Settlement Data'!A92)</f>
        <v/>
      </c>
      <c r="B92" s="11">
        <f>IF('Settlement Data'!A92="","",'Settlement Data'!C92)</f>
        <v/>
      </c>
      <c r="C92" s="12">
        <f>IF('Settlement Data'!A92="","",'Settlement Data'!D92)</f>
        <v/>
      </c>
      <c r="D92" s="13">
        <f>IF('Settlement Data'!A92="","",INDEX('TDR Rate Card'!$B$4:$B$8,MATCH(B92,'TDR Rate Card'!$A$4:$A$8,0)))</f>
        <v/>
      </c>
      <c r="E92" s="14">
        <f>IF('Settlement Data'!A92="","",C92*D92)</f>
        <v/>
      </c>
      <c r="F92" s="12">
        <f>IF('Settlement Data'!A92="","",E92*INDEX('TDR Rate Card'!$C$4:$C$8,MATCH(B92,'TDR Rate Card'!$A$4:$A$8,0)))</f>
        <v/>
      </c>
      <c r="G92" s="14">
        <f>IF('Settlement Data'!A92="","",E92+F92)</f>
        <v/>
      </c>
      <c r="H92" s="12">
        <f>IF('Settlement Data'!A92="","",'Settlement Data'!E92)</f>
        <v/>
      </c>
      <c r="I92" s="12">
        <f>IF('Settlement Data'!A92="","",'Settlement Data'!F92)</f>
        <v/>
      </c>
      <c r="J92" s="14">
        <f>IF('Settlement Data'!A92="","",H92+I92)</f>
        <v/>
      </c>
      <c r="K92" s="14">
        <f>IF('Settlement Data'!A92="","",J92-G92)</f>
        <v/>
      </c>
      <c r="L92" s="6">
        <f>IF('Settlement Data'!A92="","",IF(K92&gt;0.5,"OVERCHARGED",IF(K92&lt;-0.5,"UNDERBILLED","MATCH")))</f>
        <v/>
      </c>
    </row>
    <row r="93">
      <c r="A93" s="11">
        <f>IF('Settlement Data'!A93="","",'Settlement Data'!A93)</f>
        <v/>
      </c>
      <c r="B93" s="11">
        <f>IF('Settlement Data'!A93="","",'Settlement Data'!C93)</f>
        <v/>
      </c>
      <c r="C93" s="12">
        <f>IF('Settlement Data'!A93="","",'Settlement Data'!D93)</f>
        <v/>
      </c>
      <c r="D93" s="13">
        <f>IF('Settlement Data'!A93="","",INDEX('TDR Rate Card'!$B$4:$B$8,MATCH(B93,'TDR Rate Card'!$A$4:$A$8,0)))</f>
        <v/>
      </c>
      <c r="E93" s="14">
        <f>IF('Settlement Data'!A93="","",C93*D93)</f>
        <v/>
      </c>
      <c r="F93" s="12">
        <f>IF('Settlement Data'!A93="","",E93*INDEX('TDR Rate Card'!$C$4:$C$8,MATCH(B93,'TDR Rate Card'!$A$4:$A$8,0)))</f>
        <v/>
      </c>
      <c r="G93" s="14">
        <f>IF('Settlement Data'!A93="","",E93+F93)</f>
        <v/>
      </c>
      <c r="H93" s="12">
        <f>IF('Settlement Data'!A93="","",'Settlement Data'!E93)</f>
        <v/>
      </c>
      <c r="I93" s="12">
        <f>IF('Settlement Data'!A93="","",'Settlement Data'!F93)</f>
        <v/>
      </c>
      <c r="J93" s="14">
        <f>IF('Settlement Data'!A93="","",H93+I93)</f>
        <v/>
      </c>
      <c r="K93" s="14">
        <f>IF('Settlement Data'!A93="","",J93-G93)</f>
        <v/>
      </c>
      <c r="L93" s="6">
        <f>IF('Settlement Data'!A93="","",IF(K93&gt;0.5,"OVERCHARGED",IF(K93&lt;-0.5,"UNDERBILLED","MATCH")))</f>
        <v/>
      </c>
    </row>
    <row r="94">
      <c r="A94" s="11">
        <f>IF('Settlement Data'!A94="","",'Settlement Data'!A94)</f>
        <v/>
      </c>
      <c r="B94" s="11">
        <f>IF('Settlement Data'!A94="","",'Settlement Data'!C94)</f>
        <v/>
      </c>
      <c r="C94" s="12">
        <f>IF('Settlement Data'!A94="","",'Settlement Data'!D94)</f>
        <v/>
      </c>
      <c r="D94" s="13">
        <f>IF('Settlement Data'!A94="","",INDEX('TDR Rate Card'!$B$4:$B$8,MATCH(B94,'TDR Rate Card'!$A$4:$A$8,0)))</f>
        <v/>
      </c>
      <c r="E94" s="14">
        <f>IF('Settlement Data'!A94="","",C94*D94)</f>
        <v/>
      </c>
      <c r="F94" s="12">
        <f>IF('Settlement Data'!A94="","",E94*INDEX('TDR Rate Card'!$C$4:$C$8,MATCH(B94,'TDR Rate Card'!$A$4:$A$8,0)))</f>
        <v/>
      </c>
      <c r="G94" s="14">
        <f>IF('Settlement Data'!A94="","",E94+F94)</f>
        <v/>
      </c>
      <c r="H94" s="12">
        <f>IF('Settlement Data'!A94="","",'Settlement Data'!E94)</f>
        <v/>
      </c>
      <c r="I94" s="12">
        <f>IF('Settlement Data'!A94="","",'Settlement Data'!F94)</f>
        <v/>
      </c>
      <c r="J94" s="14">
        <f>IF('Settlement Data'!A94="","",H94+I94)</f>
        <v/>
      </c>
      <c r="K94" s="14">
        <f>IF('Settlement Data'!A94="","",J94-G94)</f>
        <v/>
      </c>
      <c r="L94" s="6">
        <f>IF('Settlement Data'!A94="","",IF(K94&gt;0.5,"OVERCHARGED",IF(K94&lt;-0.5,"UNDERBILLED","MATCH")))</f>
        <v/>
      </c>
    </row>
    <row r="95">
      <c r="A95" s="11">
        <f>IF('Settlement Data'!A95="","",'Settlement Data'!A95)</f>
        <v/>
      </c>
      <c r="B95" s="11">
        <f>IF('Settlement Data'!A95="","",'Settlement Data'!C95)</f>
        <v/>
      </c>
      <c r="C95" s="12">
        <f>IF('Settlement Data'!A95="","",'Settlement Data'!D95)</f>
        <v/>
      </c>
      <c r="D95" s="13">
        <f>IF('Settlement Data'!A95="","",INDEX('TDR Rate Card'!$B$4:$B$8,MATCH(B95,'TDR Rate Card'!$A$4:$A$8,0)))</f>
        <v/>
      </c>
      <c r="E95" s="14">
        <f>IF('Settlement Data'!A95="","",C95*D95)</f>
        <v/>
      </c>
      <c r="F95" s="12">
        <f>IF('Settlement Data'!A95="","",E95*INDEX('TDR Rate Card'!$C$4:$C$8,MATCH(B95,'TDR Rate Card'!$A$4:$A$8,0)))</f>
        <v/>
      </c>
      <c r="G95" s="14">
        <f>IF('Settlement Data'!A95="","",E95+F95)</f>
        <v/>
      </c>
      <c r="H95" s="12">
        <f>IF('Settlement Data'!A95="","",'Settlement Data'!E95)</f>
        <v/>
      </c>
      <c r="I95" s="12">
        <f>IF('Settlement Data'!A95="","",'Settlement Data'!F95)</f>
        <v/>
      </c>
      <c r="J95" s="14">
        <f>IF('Settlement Data'!A95="","",H95+I95)</f>
        <v/>
      </c>
      <c r="K95" s="14">
        <f>IF('Settlement Data'!A95="","",J95-G95)</f>
        <v/>
      </c>
      <c r="L95" s="6">
        <f>IF('Settlement Data'!A95="","",IF(K95&gt;0.5,"OVERCHARGED",IF(K95&lt;-0.5,"UNDERBILLED","MATCH")))</f>
        <v/>
      </c>
    </row>
    <row r="96">
      <c r="A96" s="11">
        <f>IF('Settlement Data'!A96="","",'Settlement Data'!A96)</f>
        <v/>
      </c>
      <c r="B96" s="11">
        <f>IF('Settlement Data'!A96="","",'Settlement Data'!C96)</f>
        <v/>
      </c>
      <c r="C96" s="12">
        <f>IF('Settlement Data'!A96="","",'Settlement Data'!D96)</f>
        <v/>
      </c>
      <c r="D96" s="13">
        <f>IF('Settlement Data'!A96="","",INDEX('TDR Rate Card'!$B$4:$B$8,MATCH(B96,'TDR Rate Card'!$A$4:$A$8,0)))</f>
        <v/>
      </c>
      <c r="E96" s="14">
        <f>IF('Settlement Data'!A96="","",C96*D96)</f>
        <v/>
      </c>
      <c r="F96" s="12">
        <f>IF('Settlement Data'!A96="","",E96*INDEX('TDR Rate Card'!$C$4:$C$8,MATCH(B96,'TDR Rate Card'!$A$4:$A$8,0)))</f>
        <v/>
      </c>
      <c r="G96" s="14">
        <f>IF('Settlement Data'!A96="","",E96+F96)</f>
        <v/>
      </c>
      <c r="H96" s="12">
        <f>IF('Settlement Data'!A96="","",'Settlement Data'!E96)</f>
        <v/>
      </c>
      <c r="I96" s="12">
        <f>IF('Settlement Data'!A96="","",'Settlement Data'!F96)</f>
        <v/>
      </c>
      <c r="J96" s="14">
        <f>IF('Settlement Data'!A96="","",H96+I96)</f>
        <v/>
      </c>
      <c r="K96" s="14">
        <f>IF('Settlement Data'!A96="","",J96-G96)</f>
        <v/>
      </c>
      <c r="L96" s="6">
        <f>IF('Settlement Data'!A96="","",IF(K96&gt;0.5,"OVERCHARGED",IF(K96&lt;-0.5,"UNDERBILLED","MATCH")))</f>
        <v/>
      </c>
    </row>
    <row r="97">
      <c r="A97" s="11">
        <f>IF('Settlement Data'!A97="","",'Settlement Data'!A97)</f>
        <v/>
      </c>
      <c r="B97" s="11">
        <f>IF('Settlement Data'!A97="","",'Settlement Data'!C97)</f>
        <v/>
      </c>
      <c r="C97" s="12">
        <f>IF('Settlement Data'!A97="","",'Settlement Data'!D97)</f>
        <v/>
      </c>
      <c r="D97" s="13">
        <f>IF('Settlement Data'!A97="","",INDEX('TDR Rate Card'!$B$4:$B$8,MATCH(B97,'TDR Rate Card'!$A$4:$A$8,0)))</f>
        <v/>
      </c>
      <c r="E97" s="14">
        <f>IF('Settlement Data'!A97="","",C97*D97)</f>
        <v/>
      </c>
      <c r="F97" s="12">
        <f>IF('Settlement Data'!A97="","",E97*INDEX('TDR Rate Card'!$C$4:$C$8,MATCH(B97,'TDR Rate Card'!$A$4:$A$8,0)))</f>
        <v/>
      </c>
      <c r="G97" s="14">
        <f>IF('Settlement Data'!A97="","",E97+F97)</f>
        <v/>
      </c>
      <c r="H97" s="12">
        <f>IF('Settlement Data'!A97="","",'Settlement Data'!E97)</f>
        <v/>
      </c>
      <c r="I97" s="12">
        <f>IF('Settlement Data'!A97="","",'Settlement Data'!F97)</f>
        <v/>
      </c>
      <c r="J97" s="14">
        <f>IF('Settlement Data'!A97="","",H97+I97)</f>
        <v/>
      </c>
      <c r="K97" s="14">
        <f>IF('Settlement Data'!A97="","",J97-G97)</f>
        <v/>
      </c>
      <c r="L97" s="6">
        <f>IF('Settlement Data'!A97="","",IF(K97&gt;0.5,"OVERCHARGED",IF(K97&lt;-0.5,"UNDERBILLED","MATCH")))</f>
        <v/>
      </c>
    </row>
    <row r="98">
      <c r="A98" s="11">
        <f>IF('Settlement Data'!A98="","",'Settlement Data'!A98)</f>
        <v/>
      </c>
      <c r="B98" s="11">
        <f>IF('Settlement Data'!A98="","",'Settlement Data'!C98)</f>
        <v/>
      </c>
      <c r="C98" s="12">
        <f>IF('Settlement Data'!A98="","",'Settlement Data'!D98)</f>
        <v/>
      </c>
      <c r="D98" s="13">
        <f>IF('Settlement Data'!A98="","",INDEX('TDR Rate Card'!$B$4:$B$8,MATCH(B98,'TDR Rate Card'!$A$4:$A$8,0)))</f>
        <v/>
      </c>
      <c r="E98" s="14">
        <f>IF('Settlement Data'!A98="","",C98*D98)</f>
        <v/>
      </c>
      <c r="F98" s="12">
        <f>IF('Settlement Data'!A98="","",E98*INDEX('TDR Rate Card'!$C$4:$C$8,MATCH(B98,'TDR Rate Card'!$A$4:$A$8,0)))</f>
        <v/>
      </c>
      <c r="G98" s="14">
        <f>IF('Settlement Data'!A98="","",E98+F98)</f>
        <v/>
      </c>
      <c r="H98" s="12">
        <f>IF('Settlement Data'!A98="","",'Settlement Data'!E98)</f>
        <v/>
      </c>
      <c r="I98" s="12">
        <f>IF('Settlement Data'!A98="","",'Settlement Data'!F98)</f>
        <v/>
      </c>
      <c r="J98" s="14">
        <f>IF('Settlement Data'!A98="","",H98+I98)</f>
        <v/>
      </c>
      <c r="K98" s="14">
        <f>IF('Settlement Data'!A98="","",J98-G98)</f>
        <v/>
      </c>
      <c r="L98" s="6">
        <f>IF('Settlement Data'!A98="","",IF(K98&gt;0.5,"OVERCHARGED",IF(K98&lt;-0.5,"UNDERBILLED","MATCH")))</f>
        <v/>
      </c>
    </row>
    <row r="99">
      <c r="A99" s="11">
        <f>IF('Settlement Data'!A99="","",'Settlement Data'!A99)</f>
        <v/>
      </c>
      <c r="B99" s="11">
        <f>IF('Settlement Data'!A99="","",'Settlement Data'!C99)</f>
        <v/>
      </c>
      <c r="C99" s="12">
        <f>IF('Settlement Data'!A99="","",'Settlement Data'!D99)</f>
        <v/>
      </c>
      <c r="D99" s="13">
        <f>IF('Settlement Data'!A99="","",INDEX('TDR Rate Card'!$B$4:$B$8,MATCH(B99,'TDR Rate Card'!$A$4:$A$8,0)))</f>
        <v/>
      </c>
      <c r="E99" s="14">
        <f>IF('Settlement Data'!A99="","",C99*D99)</f>
        <v/>
      </c>
      <c r="F99" s="12">
        <f>IF('Settlement Data'!A99="","",E99*INDEX('TDR Rate Card'!$C$4:$C$8,MATCH(B99,'TDR Rate Card'!$A$4:$A$8,0)))</f>
        <v/>
      </c>
      <c r="G99" s="14">
        <f>IF('Settlement Data'!A99="","",E99+F99)</f>
        <v/>
      </c>
      <c r="H99" s="12">
        <f>IF('Settlement Data'!A99="","",'Settlement Data'!E99)</f>
        <v/>
      </c>
      <c r="I99" s="12">
        <f>IF('Settlement Data'!A99="","",'Settlement Data'!F99)</f>
        <v/>
      </c>
      <c r="J99" s="14">
        <f>IF('Settlement Data'!A99="","",H99+I99)</f>
        <v/>
      </c>
      <c r="K99" s="14">
        <f>IF('Settlement Data'!A99="","",J99-G99)</f>
        <v/>
      </c>
      <c r="L99" s="6">
        <f>IF('Settlement Data'!A99="","",IF(K99&gt;0.5,"OVERCHARGED",IF(K99&lt;-0.5,"UNDERBILLED","MATCH")))</f>
        <v/>
      </c>
    </row>
    <row r="100">
      <c r="A100" s="11">
        <f>IF('Settlement Data'!A100="","",'Settlement Data'!A100)</f>
        <v/>
      </c>
      <c r="B100" s="11">
        <f>IF('Settlement Data'!A100="","",'Settlement Data'!C100)</f>
        <v/>
      </c>
      <c r="C100" s="12">
        <f>IF('Settlement Data'!A100="","",'Settlement Data'!D100)</f>
        <v/>
      </c>
      <c r="D100" s="13">
        <f>IF('Settlement Data'!A100="","",INDEX('TDR Rate Card'!$B$4:$B$8,MATCH(B100,'TDR Rate Card'!$A$4:$A$8,0)))</f>
        <v/>
      </c>
      <c r="E100" s="14">
        <f>IF('Settlement Data'!A100="","",C100*D100)</f>
        <v/>
      </c>
      <c r="F100" s="12">
        <f>IF('Settlement Data'!A100="","",E100*INDEX('TDR Rate Card'!$C$4:$C$8,MATCH(B100,'TDR Rate Card'!$A$4:$A$8,0)))</f>
        <v/>
      </c>
      <c r="G100" s="14">
        <f>IF('Settlement Data'!A100="","",E100+F100)</f>
        <v/>
      </c>
      <c r="H100" s="12">
        <f>IF('Settlement Data'!A100="","",'Settlement Data'!E100)</f>
        <v/>
      </c>
      <c r="I100" s="12">
        <f>IF('Settlement Data'!A100="","",'Settlement Data'!F100)</f>
        <v/>
      </c>
      <c r="J100" s="14">
        <f>IF('Settlement Data'!A100="","",H100+I100)</f>
        <v/>
      </c>
      <c r="K100" s="14">
        <f>IF('Settlement Data'!A100="","",J100-G100)</f>
        <v/>
      </c>
      <c r="L100" s="6">
        <f>IF('Settlement Data'!A100="","",IF(K100&gt;0.5,"OVERCHARGED",IF(K100&lt;-0.5,"UNDERBILLED","MATCH")))</f>
        <v/>
      </c>
    </row>
    <row r="101">
      <c r="A101" s="11">
        <f>IF('Settlement Data'!A101="","",'Settlement Data'!A101)</f>
        <v/>
      </c>
      <c r="B101" s="11">
        <f>IF('Settlement Data'!A101="","",'Settlement Data'!C101)</f>
        <v/>
      </c>
      <c r="C101" s="12">
        <f>IF('Settlement Data'!A101="","",'Settlement Data'!D101)</f>
        <v/>
      </c>
      <c r="D101" s="13">
        <f>IF('Settlement Data'!A101="","",INDEX('TDR Rate Card'!$B$4:$B$8,MATCH(B101,'TDR Rate Card'!$A$4:$A$8,0)))</f>
        <v/>
      </c>
      <c r="E101" s="14">
        <f>IF('Settlement Data'!A101="","",C101*D101)</f>
        <v/>
      </c>
      <c r="F101" s="12">
        <f>IF('Settlement Data'!A101="","",E101*INDEX('TDR Rate Card'!$C$4:$C$8,MATCH(B101,'TDR Rate Card'!$A$4:$A$8,0)))</f>
        <v/>
      </c>
      <c r="G101" s="14">
        <f>IF('Settlement Data'!A101="","",E101+F101)</f>
        <v/>
      </c>
      <c r="H101" s="12">
        <f>IF('Settlement Data'!A101="","",'Settlement Data'!E101)</f>
        <v/>
      </c>
      <c r="I101" s="12">
        <f>IF('Settlement Data'!A101="","",'Settlement Data'!F101)</f>
        <v/>
      </c>
      <c r="J101" s="14">
        <f>IF('Settlement Data'!A101="","",H101+I101)</f>
        <v/>
      </c>
      <c r="K101" s="14">
        <f>IF('Settlement Data'!A101="","",J101-G101)</f>
        <v/>
      </c>
      <c r="L101" s="6">
        <f>IF('Settlement Data'!A101="","",IF(K101&gt;0.5,"OVERCHARGED",IF(K101&lt;-0.5,"UNDERBILLED","MATCH")))</f>
        <v/>
      </c>
    </row>
    <row r="102">
      <c r="A102" s="11">
        <f>IF('Settlement Data'!A102="","",'Settlement Data'!A102)</f>
        <v/>
      </c>
      <c r="B102" s="11">
        <f>IF('Settlement Data'!A102="","",'Settlement Data'!C102)</f>
        <v/>
      </c>
      <c r="C102" s="12">
        <f>IF('Settlement Data'!A102="","",'Settlement Data'!D102)</f>
        <v/>
      </c>
      <c r="D102" s="13">
        <f>IF('Settlement Data'!A102="","",INDEX('TDR Rate Card'!$B$4:$B$8,MATCH(B102,'TDR Rate Card'!$A$4:$A$8,0)))</f>
        <v/>
      </c>
      <c r="E102" s="14">
        <f>IF('Settlement Data'!A102="","",C102*D102)</f>
        <v/>
      </c>
      <c r="F102" s="12">
        <f>IF('Settlement Data'!A102="","",E102*INDEX('TDR Rate Card'!$C$4:$C$8,MATCH(B102,'TDR Rate Card'!$A$4:$A$8,0)))</f>
        <v/>
      </c>
      <c r="G102" s="14">
        <f>IF('Settlement Data'!A102="","",E102+F102)</f>
        <v/>
      </c>
      <c r="H102" s="12">
        <f>IF('Settlement Data'!A102="","",'Settlement Data'!E102)</f>
        <v/>
      </c>
      <c r="I102" s="12">
        <f>IF('Settlement Data'!A102="","",'Settlement Data'!F102)</f>
        <v/>
      </c>
      <c r="J102" s="14">
        <f>IF('Settlement Data'!A102="","",H102+I102)</f>
        <v/>
      </c>
      <c r="K102" s="14">
        <f>IF('Settlement Data'!A102="","",J102-G102)</f>
        <v/>
      </c>
      <c r="L102" s="6">
        <f>IF('Settlement Data'!A102="","",IF(K102&gt;0.5,"OVERCHARGED",IF(K102&lt;-0.5,"UNDERBILLED","MATCH")))</f>
        <v/>
      </c>
    </row>
    <row r="103">
      <c r="A103" s="11">
        <f>IF('Settlement Data'!A103="","",'Settlement Data'!A103)</f>
        <v/>
      </c>
      <c r="B103" s="11">
        <f>IF('Settlement Data'!A103="","",'Settlement Data'!C103)</f>
        <v/>
      </c>
      <c r="C103" s="12">
        <f>IF('Settlement Data'!A103="","",'Settlement Data'!D103)</f>
        <v/>
      </c>
      <c r="D103" s="13">
        <f>IF('Settlement Data'!A103="","",INDEX('TDR Rate Card'!$B$4:$B$8,MATCH(B103,'TDR Rate Card'!$A$4:$A$8,0)))</f>
        <v/>
      </c>
      <c r="E103" s="14">
        <f>IF('Settlement Data'!A103="","",C103*D103)</f>
        <v/>
      </c>
      <c r="F103" s="12">
        <f>IF('Settlement Data'!A103="","",E103*INDEX('TDR Rate Card'!$C$4:$C$8,MATCH(B103,'TDR Rate Card'!$A$4:$A$8,0)))</f>
        <v/>
      </c>
      <c r="G103" s="14">
        <f>IF('Settlement Data'!A103="","",E103+F103)</f>
        <v/>
      </c>
      <c r="H103" s="12">
        <f>IF('Settlement Data'!A103="","",'Settlement Data'!E103)</f>
        <v/>
      </c>
      <c r="I103" s="12">
        <f>IF('Settlement Data'!A103="","",'Settlement Data'!F103)</f>
        <v/>
      </c>
      <c r="J103" s="14">
        <f>IF('Settlement Data'!A103="","",H103+I103)</f>
        <v/>
      </c>
      <c r="K103" s="14">
        <f>IF('Settlement Data'!A103="","",J103-G103)</f>
        <v/>
      </c>
      <c r="L103" s="6">
        <f>IF('Settlement Data'!A103="","",IF(K103&gt;0.5,"OVERCHARGED",IF(K103&lt;-0.5,"UNDERBILLED","MATCH")))</f>
        <v/>
      </c>
    </row>
    <row r="104">
      <c r="A104" s="11">
        <f>IF('Settlement Data'!A104="","",'Settlement Data'!A104)</f>
        <v/>
      </c>
      <c r="B104" s="11">
        <f>IF('Settlement Data'!A104="","",'Settlement Data'!C104)</f>
        <v/>
      </c>
      <c r="C104" s="12">
        <f>IF('Settlement Data'!A104="","",'Settlement Data'!D104)</f>
        <v/>
      </c>
      <c r="D104" s="13">
        <f>IF('Settlement Data'!A104="","",INDEX('TDR Rate Card'!$B$4:$B$8,MATCH(B104,'TDR Rate Card'!$A$4:$A$8,0)))</f>
        <v/>
      </c>
      <c r="E104" s="14">
        <f>IF('Settlement Data'!A104="","",C104*D104)</f>
        <v/>
      </c>
      <c r="F104" s="12">
        <f>IF('Settlement Data'!A104="","",E104*INDEX('TDR Rate Card'!$C$4:$C$8,MATCH(B104,'TDR Rate Card'!$A$4:$A$8,0)))</f>
        <v/>
      </c>
      <c r="G104" s="14">
        <f>IF('Settlement Data'!A104="","",E104+F104)</f>
        <v/>
      </c>
      <c r="H104" s="12">
        <f>IF('Settlement Data'!A104="","",'Settlement Data'!E104)</f>
        <v/>
      </c>
      <c r="I104" s="12">
        <f>IF('Settlement Data'!A104="","",'Settlement Data'!F104)</f>
        <v/>
      </c>
      <c r="J104" s="14">
        <f>IF('Settlement Data'!A104="","",H104+I104)</f>
        <v/>
      </c>
      <c r="K104" s="14">
        <f>IF('Settlement Data'!A104="","",J104-G104)</f>
        <v/>
      </c>
      <c r="L104" s="6">
        <f>IF('Settlement Data'!A104="","",IF(K104&gt;0.5,"OVERCHARGED",IF(K104&lt;-0.5,"UNDERBILLED","MATCH")))</f>
        <v/>
      </c>
    </row>
    <row r="105">
      <c r="A105" s="11">
        <f>IF('Settlement Data'!A105="","",'Settlement Data'!A105)</f>
        <v/>
      </c>
      <c r="B105" s="11">
        <f>IF('Settlement Data'!A105="","",'Settlement Data'!C105)</f>
        <v/>
      </c>
      <c r="C105" s="12">
        <f>IF('Settlement Data'!A105="","",'Settlement Data'!D105)</f>
        <v/>
      </c>
      <c r="D105" s="13">
        <f>IF('Settlement Data'!A105="","",INDEX('TDR Rate Card'!$B$4:$B$8,MATCH(B105,'TDR Rate Card'!$A$4:$A$8,0)))</f>
        <v/>
      </c>
      <c r="E105" s="14">
        <f>IF('Settlement Data'!A105="","",C105*D105)</f>
        <v/>
      </c>
      <c r="F105" s="12">
        <f>IF('Settlement Data'!A105="","",E105*INDEX('TDR Rate Card'!$C$4:$C$8,MATCH(B105,'TDR Rate Card'!$A$4:$A$8,0)))</f>
        <v/>
      </c>
      <c r="G105" s="14">
        <f>IF('Settlement Data'!A105="","",E105+F105)</f>
        <v/>
      </c>
      <c r="H105" s="12">
        <f>IF('Settlement Data'!A105="","",'Settlement Data'!E105)</f>
        <v/>
      </c>
      <c r="I105" s="12">
        <f>IF('Settlement Data'!A105="","",'Settlement Data'!F105)</f>
        <v/>
      </c>
      <c r="J105" s="14">
        <f>IF('Settlement Data'!A105="","",H105+I105)</f>
        <v/>
      </c>
      <c r="K105" s="14">
        <f>IF('Settlement Data'!A105="","",J105-G105)</f>
        <v/>
      </c>
      <c r="L105" s="6">
        <f>IF('Settlement Data'!A105="","",IF(K105&gt;0.5,"OVERCHARGED",IF(K105&lt;-0.5,"UNDERBILLED","MATCH")))</f>
        <v/>
      </c>
    </row>
    <row r="106">
      <c r="A106" s="11">
        <f>IF('Settlement Data'!A106="","",'Settlement Data'!A106)</f>
        <v/>
      </c>
      <c r="B106" s="11">
        <f>IF('Settlement Data'!A106="","",'Settlement Data'!C106)</f>
        <v/>
      </c>
      <c r="C106" s="12">
        <f>IF('Settlement Data'!A106="","",'Settlement Data'!D106)</f>
        <v/>
      </c>
      <c r="D106" s="13">
        <f>IF('Settlement Data'!A106="","",INDEX('TDR Rate Card'!$B$4:$B$8,MATCH(B106,'TDR Rate Card'!$A$4:$A$8,0)))</f>
        <v/>
      </c>
      <c r="E106" s="14">
        <f>IF('Settlement Data'!A106="","",C106*D106)</f>
        <v/>
      </c>
      <c r="F106" s="12">
        <f>IF('Settlement Data'!A106="","",E106*INDEX('TDR Rate Card'!$C$4:$C$8,MATCH(B106,'TDR Rate Card'!$A$4:$A$8,0)))</f>
        <v/>
      </c>
      <c r="G106" s="14">
        <f>IF('Settlement Data'!A106="","",E106+F106)</f>
        <v/>
      </c>
      <c r="H106" s="12">
        <f>IF('Settlement Data'!A106="","",'Settlement Data'!E106)</f>
        <v/>
      </c>
      <c r="I106" s="12">
        <f>IF('Settlement Data'!A106="","",'Settlement Data'!F106)</f>
        <v/>
      </c>
      <c r="J106" s="14">
        <f>IF('Settlement Data'!A106="","",H106+I106)</f>
        <v/>
      </c>
      <c r="K106" s="14">
        <f>IF('Settlement Data'!A106="","",J106-G106)</f>
        <v/>
      </c>
      <c r="L106" s="6">
        <f>IF('Settlement Data'!A106="","",IF(K106&gt;0.5,"OVERCHARGED",IF(K106&lt;-0.5,"UNDERBILLED","MATCH")))</f>
        <v/>
      </c>
    </row>
    <row r="107">
      <c r="A107" s="11">
        <f>IF('Settlement Data'!A107="","",'Settlement Data'!A107)</f>
        <v/>
      </c>
      <c r="B107" s="11">
        <f>IF('Settlement Data'!A107="","",'Settlement Data'!C107)</f>
        <v/>
      </c>
      <c r="C107" s="12">
        <f>IF('Settlement Data'!A107="","",'Settlement Data'!D107)</f>
        <v/>
      </c>
      <c r="D107" s="13">
        <f>IF('Settlement Data'!A107="","",INDEX('TDR Rate Card'!$B$4:$B$8,MATCH(B107,'TDR Rate Card'!$A$4:$A$8,0)))</f>
        <v/>
      </c>
      <c r="E107" s="14">
        <f>IF('Settlement Data'!A107="","",C107*D107)</f>
        <v/>
      </c>
      <c r="F107" s="12">
        <f>IF('Settlement Data'!A107="","",E107*INDEX('TDR Rate Card'!$C$4:$C$8,MATCH(B107,'TDR Rate Card'!$A$4:$A$8,0)))</f>
        <v/>
      </c>
      <c r="G107" s="14">
        <f>IF('Settlement Data'!A107="","",E107+F107)</f>
        <v/>
      </c>
      <c r="H107" s="12">
        <f>IF('Settlement Data'!A107="","",'Settlement Data'!E107)</f>
        <v/>
      </c>
      <c r="I107" s="12">
        <f>IF('Settlement Data'!A107="","",'Settlement Data'!F107)</f>
        <v/>
      </c>
      <c r="J107" s="14">
        <f>IF('Settlement Data'!A107="","",H107+I107)</f>
        <v/>
      </c>
      <c r="K107" s="14">
        <f>IF('Settlement Data'!A107="","",J107-G107)</f>
        <v/>
      </c>
      <c r="L107" s="6">
        <f>IF('Settlement Data'!A107="","",IF(K107&gt;0.5,"OVERCHARGED",IF(K107&lt;-0.5,"UNDERBILLED","MATCH")))</f>
        <v/>
      </c>
    </row>
    <row r="108">
      <c r="A108" s="11">
        <f>IF('Settlement Data'!A108="","",'Settlement Data'!A108)</f>
        <v/>
      </c>
      <c r="B108" s="11">
        <f>IF('Settlement Data'!A108="","",'Settlement Data'!C108)</f>
        <v/>
      </c>
      <c r="C108" s="12">
        <f>IF('Settlement Data'!A108="","",'Settlement Data'!D108)</f>
        <v/>
      </c>
      <c r="D108" s="13">
        <f>IF('Settlement Data'!A108="","",INDEX('TDR Rate Card'!$B$4:$B$8,MATCH(B108,'TDR Rate Card'!$A$4:$A$8,0)))</f>
        <v/>
      </c>
      <c r="E108" s="14">
        <f>IF('Settlement Data'!A108="","",C108*D108)</f>
        <v/>
      </c>
      <c r="F108" s="12">
        <f>IF('Settlement Data'!A108="","",E108*INDEX('TDR Rate Card'!$C$4:$C$8,MATCH(B108,'TDR Rate Card'!$A$4:$A$8,0)))</f>
        <v/>
      </c>
      <c r="G108" s="14">
        <f>IF('Settlement Data'!A108="","",E108+F108)</f>
        <v/>
      </c>
      <c r="H108" s="12">
        <f>IF('Settlement Data'!A108="","",'Settlement Data'!E108)</f>
        <v/>
      </c>
      <c r="I108" s="12">
        <f>IF('Settlement Data'!A108="","",'Settlement Data'!F108)</f>
        <v/>
      </c>
      <c r="J108" s="14">
        <f>IF('Settlement Data'!A108="","",H108+I108)</f>
        <v/>
      </c>
      <c r="K108" s="14">
        <f>IF('Settlement Data'!A108="","",J108-G108)</f>
        <v/>
      </c>
      <c r="L108" s="6">
        <f>IF('Settlement Data'!A108="","",IF(K108&gt;0.5,"OVERCHARGED",IF(K108&lt;-0.5,"UNDERBILLED","MATCH")))</f>
        <v/>
      </c>
    </row>
    <row r="109">
      <c r="A109" s="11">
        <f>IF('Settlement Data'!A109="","",'Settlement Data'!A109)</f>
        <v/>
      </c>
      <c r="B109" s="11">
        <f>IF('Settlement Data'!A109="","",'Settlement Data'!C109)</f>
        <v/>
      </c>
      <c r="C109" s="12">
        <f>IF('Settlement Data'!A109="","",'Settlement Data'!D109)</f>
        <v/>
      </c>
      <c r="D109" s="13">
        <f>IF('Settlement Data'!A109="","",INDEX('TDR Rate Card'!$B$4:$B$8,MATCH(B109,'TDR Rate Card'!$A$4:$A$8,0)))</f>
        <v/>
      </c>
      <c r="E109" s="14">
        <f>IF('Settlement Data'!A109="","",C109*D109)</f>
        <v/>
      </c>
      <c r="F109" s="12">
        <f>IF('Settlement Data'!A109="","",E109*INDEX('TDR Rate Card'!$C$4:$C$8,MATCH(B109,'TDR Rate Card'!$A$4:$A$8,0)))</f>
        <v/>
      </c>
      <c r="G109" s="14">
        <f>IF('Settlement Data'!A109="","",E109+F109)</f>
        <v/>
      </c>
      <c r="H109" s="12">
        <f>IF('Settlement Data'!A109="","",'Settlement Data'!E109)</f>
        <v/>
      </c>
      <c r="I109" s="12">
        <f>IF('Settlement Data'!A109="","",'Settlement Data'!F109)</f>
        <v/>
      </c>
      <c r="J109" s="14">
        <f>IF('Settlement Data'!A109="","",H109+I109)</f>
        <v/>
      </c>
      <c r="K109" s="14">
        <f>IF('Settlement Data'!A109="","",J109-G109)</f>
        <v/>
      </c>
      <c r="L109" s="6">
        <f>IF('Settlement Data'!A109="","",IF(K109&gt;0.5,"OVERCHARGED",IF(K109&lt;-0.5,"UNDERBILLED","MATCH")))</f>
        <v/>
      </c>
    </row>
    <row r="110">
      <c r="A110" s="11">
        <f>IF('Settlement Data'!A110="","",'Settlement Data'!A110)</f>
        <v/>
      </c>
      <c r="B110" s="11">
        <f>IF('Settlement Data'!A110="","",'Settlement Data'!C110)</f>
        <v/>
      </c>
      <c r="C110" s="12">
        <f>IF('Settlement Data'!A110="","",'Settlement Data'!D110)</f>
        <v/>
      </c>
      <c r="D110" s="13">
        <f>IF('Settlement Data'!A110="","",INDEX('TDR Rate Card'!$B$4:$B$8,MATCH(B110,'TDR Rate Card'!$A$4:$A$8,0)))</f>
        <v/>
      </c>
      <c r="E110" s="14">
        <f>IF('Settlement Data'!A110="","",C110*D110)</f>
        <v/>
      </c>
      <c r="F110" s="12">
        <f>IF('Settlement Data'!A110="","",E110*INDEX('TDR Rate Card'!$C$4:$C$8,MATCH(B110,'TDR Rate Card'!$A$4:$A$8,0)))</f>
        <v/>
      </c>
      <c r="G110" s="14">
        <f>IF('Settlement Data'!A110="","",E110+F110)</f>
        <v/>
      </c>
      <c r="H110" s="12">
        <f>IF('Settlement Data'!A110="","",'Settlement Data'!E110)</f>
        <v/>
      </c>
      <c r="I110" s="12">
        <f>IF('Settlement Data'!A110="","",'Settlement Data'!F110)</f>
        <v/>
      </c>
      <c r="J110" s="14">
        <f>IF('Settlement Data'!A110="","",H110+I110)</f>
        <v/>
      </c>
      <c r="K110" s="14">
        <f>IF('Settlement Data'!A110="","",J110-G110)</f>
        <v/>
      </c>
      <c r="L110" s="6">
        <f>IF('Settlement Data'!A110="","",IF(K110&gt;0.5,"OVERCHARGED",IF(K110&lt;-0.5,"UNDERBILLED","MATCH")))</f>
        <v/>
      </c>
    </row>
    <row r="111">
      <c r="A111" s="11">
        <f>IF('Settlement Data'!A111="","",'Settlement Data'!A111)</f>
        <v/>
      </c>
      <c r="B111" s="11">
        <f>IF('Settlement Data'!A111="","",'Settlement Data'!C111)</f>
        <v/>
      </c>
      <c r="C111" s="12">
        <f>IF('Settlement Data'!A111="","",'Settlement Data'!D111)</f>
        <v/>
      </c>
      <c r="D111" s="13">
        <f>IF('Settlement Data'!A111="","",INDEX('TDR Rate Card'!$B$4:$B$8,MATCH(B111,'TDR Rate Card'!$A$4:$A$8,0)))</f>
        <v/>
      </c>
      <c r="E111" s="14">
        <f>IF('Settlement Data'!A111="","",C111*D111)</f>
        <v/>
      </c>
      <c r="F111" s="12">
        <f>IF('Settlement Data'!A111="","",E111*INDEX('TDR Rate Card'!$C$4:$C$8,MATCH(B111,'TDR Rate Card'!$A$4:$A$8,0)))</f>
        <v/>
      </c>
      <c r="G111" s="14">
        <f>IF('Settlement Data'!A111="","",E111+F111)</f>
        <v/>
      </c>
      <c r="H111" s="12">
        <f>IF('Settlement Data'!A111="","",'Settlement Data'!E111)</f>
        <v/>
      </c>
      <c r="I111" s="12">
        <f>IF('Settlement Data'!A111="","",'Settlement Data'!F111)</f>
        <v/>
      </c>
      <c r="J111" s="14">
        <f>IF('Settlement Data'!A111="","",H111+I111)</f>
        <v/>
      </c>
      <c r="K111" s="14">
        <f>IF('Settlement Data'!A111="","",J111-G111)</f>
        <v/>
      </c>
      <c r="L111" s="6">
        <f>IF('Settlement Data'!A111="","",IF(K111&gt;0.5,"OVERCHARGED",IF(K111&lt;-0.5,"UNDERBILLED","MATCH")))</f>
        <v/>
      </c>
    </row>
    <row r="112">
      <c r="A112" s="11">
        <f>IF('Settlement Data'!A112="","",'Settlement Data'!A112)</f>
        <v/>
      </c>
      <c r="B112" s="11">
        <f>IF('Settlement Data'!A112="","",'Settlement Data'!C112)</f>
        <v/>
      </c>
      <c r="C112" s="12">
        <f>IF('Settlement Data'!A112="","",'Settlement Data'!D112)</f>
        <v/>
      </c>
      <c r="D112" s="13">
        <f>IF('Settlement Data'!A112="","",INDEX('TDR Rate Card'!$B$4:$B$8,MATCH(B112,'TDR Rate Card'!$A$4:$A$8,0)))</f>
        <v/>
      </c>
      <c r="E112" s="14">
        <f>IF('Settlement Data'!A112="","",C112*D112)</f>
        <v/>
      </c>
      <c r="F112" s="12">
        <f>IF('Settlement Data'!A112="","",E112*INDEX('TDR Rate Card'!$C$4:$C$8,MATCH(B112,'TDR Rate Card'!$A$4:$A$8,0)))</f>
        <v/>
      </c>
      <c r="G112" s="14">
        <f>IF('Settlement Data'!A112="","",E112+F112)</f>
        <v/>
      </c>
      <c r="H112" s="12">
        <f>IF('Settlement Data'!A112="","",'Settlement Data'!E112)</f>
        <v/>
      </c>
      <c r="I112" s="12">
        <f>IF('Settlement Data'!A112="","",'Settlement Data'!F112)</f>
        <v/>
      </c>
      <c r="J112" s="14">
        <f>IF('Settlement Data'!A112="","",H112+I112)</f>
        <v/>
      </c>
      <c r="K112" s="14">
        <f>IF('Settlement Data'!A112="","",J112-G112)</f>
        <v/>
      </c>
      <c r="L112" s="6">
        <f>IF('Settlement Data'!A112="","",IF(K112&gt;0.5,"OVERCHARGED",IF(K112&lt;-0.5,"UNDERBILLED","MATCH")))</f>
        <v/>
      </c>
    </row>
    <row r="113">
      <c r="A113" s="11">
        <f>IF('Settlement Data'!A113="","",'Settlement Data'!A113)</f>
        <v/>
      </c>
      <c r="B113" s="11">
        <f>IF('Settlement Data'!A113="","",'Settlement Data'!C113)</f>
        <v/>
      </c>
      <c r="C113" s="12">
        <f>IF('Settlement Data'!A113="","",'Settlement Data'!D113)</f>
        <v/>
      </c>
      <c r="D113" s="13">
        <f>IF('Settlement Data'!A113="","",INDEX('TDR Rate Card'!$B$4:$B$8,MATCH(B113,'TDR Rate Card'!$A$4:$A$8,0)))</f>
        <v/>
      </c>
      <c r="E113" s="14">
        <f>IF('Settlement Data'!A113="","",C113*D113)</f>
        <v/>
      </c>
      <c r="F113" s="12">
        <f>IF('Settlement Data'!A113="","",E113*INDEX('TDR Rate Card'!$C$4:$C$8,MATCH(B113,'TDR Rate Card'!$A$4:$A$8,0)))</f>
        <v/>
      </c>
      <c r="G113" s="14">
        <f>IF('Settlement Data'!A113="","",E113+F113)</f>
        <v/>
      </c>
      <c r="H113" s="12">
        <f>IF('Settlement Data'!A113="","",'Settlement Data'!E113)</f>
        <v/>
      </c>
      <c r="I113" s="12">
        <f>IF('Settlement Data'!A113="","",'Settlement Data'!F113)</f>
        <v/>
      </c>
      <c r="J113" s="14">
        <f>IF('Settlement Data'!A113="","",H113+I113)</f>
        <v/>
      </c>
      <c r="K113" s="14">
        <f>IF('Settlement Data'!A113="","",J113-G113)</f>
        <v/>
      </c>
      <c r="L113" s="6">
        <f>IF('Settlement Data'!A113="","",IF(K113&gt;0.5,"OVERCHARGED",IF(K113&lt;-0.5,"UNDERBILLED","MATCH")))</f>
        <v/>
      </c>
    </row>
    <row r="114">
      <c r="A114" s="11">
        <f>IF('Settlement Data'!A114="","",'Settlement Data'!A114)</f>
        <v/>
      </c>
      <c r="B114" s="11">
        <f>IF('Settlement Data'!A114="","",'Settlement Data'!C114)</f>
        <v/>
      </c>
      <c r="C114" s="12">
        <f>IF('Settlement Data'!A114="","",'Settlement Data'!D114)</f>
        <v/>
      </c>
      <c r="D114" s="13">
        <f>IF('Settlement Data'!A114="","",INDEX('TDR Rate Card'!$B$4:$B$8,MATCH(B114,'TDR Rate Card'!$A$4:$A$8,0)))</f>
        <v/>
      </c>
      <c r="E114" s="14">
        <f>IF('Settlement Data'!A114="","",C114*D114)</f>
        <v/>
      </c>
      <c r="F114" s="12">
        <f>IF('Settlement Data'!A114="","",E114*INDEX('TDR Rate Card'!$C$4:$C$8,MATCH(B114,'TDR Rate Card'!$A$4:$A$8,0)))</f>
        <v/>
      </c>
      <c r="G114" s="14">
        <f>IF('Settlement Data'!A114="","",E114+F114)</f>
        <v/>
      </c>
      <c r="H114" s="12">
        <f>IF('Settlement Data'!A114="","",'Settlement Data'!E114)</f>
        <v/>
      </c>
      <c r="I114" s="12">
        <f>IF('Settlement Data'!A114="","",'Settlement Data'!F114)</f>
        <v/>
      </c>
      <c r="J114" s="14">
        <f>IF('Settlement Data'!A114="","",H114+I114)</f>
        <v/>
      </c>
      <c r="K114" s="14">
        <f>IF('Settlement Data'!A114="","",J114-G114)</f>
        <v/>
      </c>
      <c r="L114" s="6">
        <f>IF('Settlement Data'!A114="","",IF(K114&gt;0.5,"OVERCHARGED",IF(K114&lt;-0.5,"UNDERBILLED","MATCH")))</f>
        <v/>
      </c>
    </row>
    <row r="115">
      <c r="A115" s="11">
        <f>IF('Settlement Data'!A115="","",'Settlement Data'!A115)</f>
        <v/>
      </c>
      <c r="B115" s="11">
        <f>IF('Settlement Data'!A115="","",'Settlement Data'!C115)</f>
        <v/>
      </c>
      <c r="C115" s="12">
        <f>IF('Settlement Data'!A115="","",'Settlement Data'!D115)</f>
        <v/>
      </c>
      <c r="D115" s="13">
        <f>IF('Settlement Data'!A115="","",INDEX('TDR Rate Card'!$B$4:$B$8,MATCH(B115,'TDR Rate Card'!$A$4:$A$8,0)))</f>
        <v/>
      </c>
      <c r="E115" s="14">
        <f>IF('Settlement Data'!A115="","",C115*D115)</f>
        <v/>
      </c>
      <c r="F115" s="12">
        <f>IF('Settlement Data'!A115="","",E115*INDEX('TDR Rate Card'!$C$4:$C$8,MATCH(B115,'TDR Rate Card'!$A$4:$A$8,0)))</f>
        <v/>
      </c>
      <c r="G115" s="14">
        <f>IF('Settlement Data'!A115="","",E115+F115)</f>
        <v/>
      </c>
      <c r="H115" s="12">
        <f>IF('Settlement Data'!A115="","",'Settlement Data'!E115)</f>
        <v/>
      </c>
      <c r="I115" s="12">
        <f>IF('Settlement Data'!A115="","",'Settlement Data'!F115)</f>
        <v/>
      </c>
      <c r="J115" s="14">
        <f>IF('Settlement Data'!A115="","",H115+I115)</f>
        <v/>
      </c>
      <c r="K115" s="14">
        <f>IF('Settlement Data'!A115="","",J115-G115)</f>
        <v/>
      </c>
      <c r="L115" s="6">
        <f>IF('Settlement Data'!A115="","",IF(K115&gt;0.5,"OVERCHARGED",IF(K115&lt;-0.5,"UNDERBILLED","MATCH")))</f>
        <v/>
      </c>
    </row>
    <row r="116">
      <c r="A116" s="11">
        <f>IF('Settlement Data'!A116="","",'Settlement Data'!A116)</f>
        <v/>
      </c>
      <c r="B116" s="11">
        <f>IF('Settlement Data'!A116="","",'Settlement Data'!C116)</f>
        <v/>
      </c>
      <c r="C116" s="12">
        <f>IF('Settlement Data'!A116="","",'Settlement Data'!D116)</f>
        <v/>
      </c>
      <c r="D116" s="13">
        <f>IF('Settlement Data'!A116="","",INDEX('TDR Rate Card'!$B$4:$B$8,MATCH(B116,'TDR Rate Card'!$A$4:$A$8,0)))</f>
        <v/>
      </c>
      <c r="E116" s="14">
        <f>IF('Settlement Data'!A116="","",C116*D116)</f>
        <v/>
      </c>
      <c r="F116" s="12">
        <f>IF('Settlement Data'!A116="","",E116*INDEX('TDR Rate Card'!$C$4:$C$8,MATCH(B116,'TDR Rate Card'!$A$4:$A$8,0)))</f>
        <v/>
      </c>
      <c r="G116" s="14">
        <f>IF('Settlement Data'!A116="","",E116+F116)</f>
        <v/>
      </c>
      <c r="H116" s="12">
        <f>IF('Settlement Data'!A116="","",'Settlement Data'!E116)</f>
        <v/>
      </c>
      <c r="I116" s="12">
        <f>IF('Settlement Data'!A116="","",'Settlement Data'!F116)</f>
        <v/>
      </c>
      <c r="J116" s="14">
        <f>IF('Settlement Data'!A116="","",H116+I116)</f>
        <v/>
      </c>
      <c r="K116" s="14">
        <f>IF('Settlement Data'!A116="","",J116-G116)</f>
        <v/>
      </c>
      <c r="L116" s="6">
        <f>IF('Settlement Data'!A116="","",IF(K116&gt;0.5,"OVERCHARGED",IF(K116&lt;-0.5,"UNDERBILLED","MATCH")))</f>
        <v/>
      </c>
    </row>
    <row r="117">
      <c r="A117" s="11">
        <f>IF('Settlement Data'!A117="","",'Settlement Data'!A117)</f>
        <v/>
      </c>
      <c r="B117" s="11">
        <f>IF('Settlement Data'!A117="","",'Settlement Data'!C117)</f>
        <v/>
      </c>
      <c r="C117" s="12">
        <f>IF('Settlement Data'!A117="","",'Settlement Data'!D117)</f>
        <v/>
      </c>
      <c r="D117" s="13">
        <f>IF('Settlement Data'!A117="","",INDEX('TDR Rate Card'!$B$4:$B$8,MATCH(B117,'TDR Rate Card'!$A$4:$A$8,0)))</f>
        <v/>
      </c>
      <c r="E117" s="14">
        <f>IF('Settlement Data'!A117="","",C117*D117)</f>
        <v/>
      </c>
      <c r="F117" s="12">
        <f>IF('Settlement Data'!A117="","",E117*INDEX('TDR Rate Card'!$C$4:$C$8,MATCH(B117,'TDR Rate Card'!$A$4:$A$8,0)))</f>
        <v/>
      </c>
      <c r="G117" s="14">
        <f>IF('Settlement Data'!A117="","",E117+F117)</f>
        <v/>
      </c>
      <c r="H117" s="12">
        <f>IF('Settlement Data'!A117="","",'Settlement Data'!E117)</f>
        <v/>
      </c>
      <c r="I117" s="12">
        <f>IF('Settlement Data'!A117="","",'Settlement Data'!F117)</f>
        <v/>
      </c>
      <c r="J117" s="14">
        <f>IF('Settlement Data'!A117="","",H117+I117)</f>
        <v/>
      </c>
      <c r="K117" s="14">
        <f>IF('Settlement Data'!A117="","",J117-G117)</f>
        <v/>
      </c>
      <c r="L117" s="6">
        <f>IF('Settlement Data'!A117="","",IF(K117&gt;0.5,"OVERCHARGED",IF(K117&lt;-0.5,"UNDERBILLED","MATCH")))</f>
        <v/>
      </c>
    </row>
    <row r="118">
      <c r="A118" s="11">
        <f>IF('Settlement Data'!A118="","",'Settlement Data'!A118)</f>
        <v/>
      </c>
      <c r="B118" s="11">
        <f>IF('Settlement Data'!A118="","",'Settlement Data'!C118)</f>
        <v/>
      </c>
      <c r="C118" s="12">
        <f>IF('Settlement Data'!A118="","",'Settlement Data'!D118)</f>
        <v/>
      </c>
      <c r="D118" s="13">
        <f>IF('Settlement Data'!A118="","",INDEX('TDR Rate Card'!$B$4:$B$8,MATCH(B118,'TDR Rate Card'!$A$4:$A$8,0)))</f>
        <v/>
      </c>
      <c r="E118" s="14">
        <f>IF('Settlement Data'!A118="","",C118*D118)</f>
        <v/>
      </c>
      <c r="F118" s="12">
        <f>IF('Settlement Data'!A118="","",E118*INDEX('TDR Rate Card'!$C$4:$C$8,MATCH(B118,'TDR Rate Card'!$A$4:$A$8,0)))</f>
        <v/>
      </c>
      <c r="G118" s="14">
        <f>IF('Settlement Data'!A118="","",E118+F118)</f>
        <v/>
      </c>
      <c r="H118" s="12">
        <f>IF('Settlement Data'!A118="","",'Settlement Data'!E118)</f>
        <v/>
      </c>
      <c r="I118" s="12">
        <f>IF('Settlement Data'!A118="","",'Settlement Data'!F118)</f>
        <v/>
      </c>
      <c r="J118" s="14">
        <f>IF('Settlement Data'!A118="","",H118+I118)</f>
        <v/>
      </c>
      <c r="K118" s="14">
        <f>IF('Settlement Data'!A118="","",J118-G118)</f>
        <v/>
      </c>
      <c r="L118" s="6">
        <f>IF('Settlement Data'!A118="","",IF(K118&gt;0.5,"OVERCHARGED",IF(K118&lt;-0.5,"UNDERBILLED","MATCH")))</f>
        <v/>
      </c>
    </row>
    <row r="119">
      <c r="A119" s="11">
        <f>IF('Settlement Data'!A119="","",'Settlement Data'!A119)</f>
        <v/>
      </c>
      <c r="B119" s="11">
        <f>IF('Settlement Data'!A119="","",'Settlement Data'!C119)</f>
        <v/>
      </c>
      <c r="C119" s="12">
        <f>IF('Settlement Data'!A119="","",'Settlement Data'!D119)</f>
        <v/>
      </c>
      <c r="D119" s="13">
        <f>IF('Settlement Data'!A119="","",INDEX('TDR Rate Card'!$B$4:$B$8,MATCH(B119,'TDR Rate Card'!$A$4:$A$8,0)))</f>
        <v/>
      </c>
      <c r="E119" s="14">
        <f>IF('Settlement Data'!A119="","",C119*D119)</f>
        <v/>
      </c>
      <c r="F119" s="12">
        <f>IF('Settlement Data'!A119="","",E119*INDEX('TDR Rate Card'!$C$4:$C$8,MATCH(B119,'TDR Rate Card'!$A$4:$A$8,0)))</f>
        <v/>
      </c>
      <c r="G119" s="14">
        <f>IF('Settlement Data'!A119="","",E119+F119)</f>
        <v/>
      </c>
      <c r="H119" s="12">
        <f>IF('Settlement Data'!A119="","",'Settlement Data'!E119)</f>
        <v/>
      </c>
      <c r="I119" s="12">
        <f>IF('Settlement Data'!A119="","",'Settlement Data'!F119)</f>
        <v/>
      </c>
      <c r="J119" s="14">
        <f>IF('Settlement Data'!A119="","",H119+I119)</f>
        <v/>
      </c>
      <c r="K119" s="14">
        <f>IF('Settlement Data'!A119="","",J119-G119)</f>
        <v/>
      </c>
      <c r="L119" s="6">
        <f>IF('Settlement Data'!A119="","",IF(K119&gt;0.5,"OVERCHARGED",IF(K119&lt;-0.5,"UNDERBILLED","MATCH")))</f>
        <v/>
      </c>
    </row>
    <row r="120">
      <c r="A120" s="11">
        <f>IF('Settlement Data'!A120="","",'Settlement Data'!A120)</f>
        <v/>
      </c>
      <c r="B120" s="11">
        <f>IF('Settlement Data'!A120="","",'Settlement Data'!C120)</f>
        <v/>
      </c>
      <c r="C120" s="12">
        <f>IF('Settlement Data'!A120="","",'Settlement Data'!D120)</f>
        <v/>
      </c>
      <c r="D120" s="13">
        <f>IF('Settlement Data'!A120="","",INDEX('TDR Rate Card'!$B$4:$B$8,MATCH(B120,'TDR Rate Card'!$A$4:$A$8,0)))</f>
        <v/>
      </c>
      <c r="E120" s="14">
        <f>IF('Settlement Data'!A120="","",C120*D120)</f>
        <v/>
      </c>
      <c r="F120" s="12">
        <f>IF('Settlement Data'!A120="","",E120*INDEX('TDR Rate Card'!$C$4:$C$8,MATCH(B120,'TDR Rate Card'!$A$4:$A$8,0)))</f>
        <v/>
      </c>
      <c r="G120" s="14">
        <f>IF('Settlement Data'!A120="","",E120+F120)</f>
        <v/>
      </c>
      <c r="H120" s="12">
        <f>IF('Settlement Data'!A120="","",'Settlement Data'!E120)</f>
        <v/>
      </c>
      <c r="I120" s="12">
        <f>IF('Settlement Data'!A120="","",'Settlement Data'!F120)</f>
        <v/>
      </c>
      <c r="J120" s="14">
        <f>IF('Settlement Data'!A120="","",H120+I120)</f>
        <v/>
      </c>
      <c r="K120" s="14">
        <f>IF('Settlement Data'!A120="","",J120-G120)</f>
        <v/>
      </c>
      <c r="L120" s="6">
        <f>IF('Settlement Data'!A120="","",IF(K120&gt;0.5,"OVERCHARGED",IF(K120&lt;-0.5,"UNDERBILLED","MATCH")))</f>
        <v/>
      </c>
    </row>
    <row r="121">
      <c r="A121" s="11">
        <f>IF('Settlement Data'!A121="","",'Settlement Data'!A121)</f>
        <v/>
      </c>
      <c r="B121" s="11">
        <f>IF('Settlement Data'!A121="","",'Settlement Data'!C121)</f>
        <v/>
      </c>
      <c r="C121" s="12">
        <f>IF('Settlement Data'!A121="","",'Settlement Data'!D121)</f>
        <v/>
      </c>
      <c r="D121" s="13">
        <f>IF('Settlement Data'!A121="","",INDEX('TDR Rate Card'!$B$4:$B$8,MATCH(B121,'TDR Rate Card'!$A$4:$A$8,0)))</f>
        <v/>
      </c>
      <c r="E121" s="14">
        <f>IF('Settlement Data'!A121="","",C121*D121)</f>
        <v/>
      </c>
      <c r="F121" s="12">
        <f>IF('Settlement Data'!A121="","",E121*INDEX('TDR Rate Card'!$C$4:$C$8,MATCH(B121,'TDR Rate Card'!$A$4:$A$8,0)))</f>
        <v/>
      </c>
      <c r="G121" s="14">
        <f>IF('Settlement Data'!A121="","",E121+F121)</f>
        <v/>
      </c>
      <c r="H121" s="12">
        <f>IF('Settlement Data'!A121="","",'Settlement Data'!E121)</f>
        <v/>
      </c>
      <c r="I121" s="12">
        <f>IF('Settlement Data'!A121="","",'Settlement Data'!F121)</f>
        <v/>
      </c>
      <c r="J121" s="14">
        <f>IF('Settlement Data'!A121="","",H121+I121)</f>
        <v/>
      </c>
      <c r="K121" s="14">
        <f>IF('Settlement Data'!A121="","",J121-G121)</f>
        <v/>
      </c>
      <c r="L121" s="6">
        <f>IF('Settlement Data'!A121="","",IF(K121&gt;0.5,"OVERCHARGED",IF(K121&lt;-0.5,"UNDERBILLED","MATCH")))</f>
        <v/>
      </c>
    </row>
    <row r="122">
      <c r="A122" s="11">
        <f>IF('Settlement Data'!A122="","",'Settlement Data'!A122)</f>
        <v/>
      </c>
      <c r="B122" s="11">
        <f>IF('Settlement Data'!A122="","",'Settlement Data'!C122)</f>
        <v/>
      </c>
      <c r="C122" s="12">
        <f>IF('Settlement Data'!A122="","",'Settlement Data'!D122)</f>
        <v/>
      </c>
      <c r="D122" s="13">
        <f>IF('Settlement Data'!A122="","",INDEX('TDR Rate Card'!$B$4:$B$8,MATCH(B122,'TDR Rate Card'!$A$4:$A$8,0)))</f>
        <v/>
      </c>
      <c r="E122" s="14">
        <f>IF('Settlement Data'!A122="","",C122*D122)</f>
        <v/>
      </c>
      <c r="F122" s="12">
        <f>IF('Settlement Data'!A122="","",E122*INDEX('TDR Rate Card'!$C$4:$C$8,MATCH(B122,'TDR Rate Card'!$A$4:$A$8,0)))</f>
        <v/>
      </c>
      <c r="G122" s="14">
        <f>IF('Settlement Data'!A122="","",E122+F122)</f>
        <v/>
      </c>
      <c r="H122" s="12">
        <f>IF('Settlement Data'!A122="","",'Settlement Data'!E122)</f>
        <v/>
      </c>
      <c r="I122" s="12">
        <f>IF('Settlement Data'!A122="","",'Settlement Data'!F122)</f>
        <v/>
      </c>
      <c r="J122" s="14">
        <f>IF('Settlement Data'!A122="","",H122+I122)</f>
        <v/>
      </c>
      <c r="K122" s="14">
        <f>IF('Settlement Data'!A122="","",J122-G122)</f>
        <v/>
      </c>
      <c r="L122" s="6">
        <f>IF('Settlement Data'!A122="","",IF(K122&gt;0.5,"OVERCHARGED",IF(K122&lt;-0.5,"UNDERBILLED","MATCH")))</f>
        <v/>
      </c>
    </row>
    <row r="123">
      <c r="A123" s="11">
        <f>IF('Settlement Data'!A123="","",'Settlement Data'!A123)</f>
        <v/>
      </c>
      <c r="B123" s="11">
        <f>IF('Settlement Data'!A123="","",'Settlement Data'!C123)</f>
        <v/>
      </c>
      <c r="C123" s="12">
        <f>IF('Settlement Data'!A123="","",'Settlement Data'!D123)</f>
        <v/>
      </c>
      <c r="D123" s="13">
        <f>IF('Settlement Data'!A123="","",INDEX('TDR Rate Card'!$B$4:$B$8,MATCH(B123,'TDR Rate Card'!$A$4:$A$8,0)))</f>
        <v/>
      </c>
      <c r="E123" s="14">
        <f>IF('Settlement Data'!A123="","",C123*D123)</f>
        <v/>
      </c>
      <c r="F123" s="12">
        <f>IF('Settlement Data'!A123="","",E123*INDEX('TDR Rate Card'!$C$4:$C$8,MATCH(B123,'TDR Rate Card'!$A$4:$A$8,0)))</f>
        <v/>
      </c>
      <c r="G123" s="14">
        <f>IF('Settlement Data'!A123="","",E123+F123)</f>
        <v/>
      </c>
      <c r="H123" s="12">
        <f>IF('Settlement Data'!A123="","",'Settlement Data'!E123)</f>
        <v/>
      </c>
      <c r="I123" s="12">
        <f>IF('Settlement Data'!A123="","",'Settlement Data'!F123)</f>
        <v/>
      </c>
      <c r="J123" s="14">
        <f>IF('Settlement Data'!A123="","",H123+I123)</f>
        <v/>
      </c>
      <c r="K123" s="14">
        <f>IF('Settlement Data'!A123="","",J123-G123)</f>
        <v/>
      </c>
      <c r="L123" s="6">
        <f>IF('Settlement Data'!A123="","",IF(K123&gt;0.5,"OVERCHARGED",IF(K123&lt;-0.5,"UNDERBILLED","MATCH")))</f>
        <v/>
      </c>
    </row>
    <row r="124">
      <c r="A124" s="11">
        <f>IF('Settlement Data'!A124="","",'Settlement Data'!A124)</f>
        <v/>
      </c>
      <c r="B124" s="11">
        <f>IF('Settlement Data'!A124="","",'Settlement Data'!C124)</f>
        <v/>
      </c>
      <c r="C124" s="12">
        <f>IF('Settlement Data'!A124="","",'Settlement Data'!D124)</f>
        <v/>
      </c>
      <c r="D124" s="13">
        <f>IF('Settlement Data'!A124="","",INDEX('TDR Rate Card'!$B$4:$B$8,MATCH(B124,'TDR Rate Card'!$A$4:$A$8,0)))</f>
        <v/>
      </c>
      <c r="E124" s="14">
        <f>IF('Settlement Data'!A124="","",C124*D124)</f>
        <v/>
      </c>
      <c r="F124" s="12">
        <f>IF('Settlement Data'!A124="","",E124*INDEX('TDR Rate Card'!$C$4:$C$8,MATCH(B124,'TDR Rate Card'!$A$4:$A$8,0)))</f>
        <v/>
      </c>
      <c r="G124" s="14">
        <f>IF('Settlement Data'!A124="","",E124+F124)</f>
        <v/>
      </c>
      <c r="H124" s="12">
        <f>IF('Settlement Data'!A124="","",'Settlement Data'!E124)</f>
        <v/>
      </c>
      <c r="I124" s="12">
        <f>IF('Settlement Data'!A124="","",'Settlement Data'!F124)</f>
        <v/>
      </c>
      <c r="J124" s="14">
        <f>IF('Settlement Data'!A124="","",H124+I124)</f>
        <v/>
      </c>
      <c r="K124" s="14">
        <f>IF('Settlement Data'!A124="","",J124-G124)</f>
        <v/>
      </c>
      <c r="L124" s="6">
        <f>IF('Settlement Data'!A124="","",IF(K124&gt;0.5,"OVERCHARGED",IF(K124&lt;-0.5,"UNDERBILLED","MATCH")))</f>
        <v/>
      </c>
    </row>
    <row r="125">
      <c r="A125" s="11">
        <f>IF('Settlement Data'!A125="","",'Settlement Data'!A125)</f>
        <v/>
      </c>
      <c r="B125" s="11">
        <f>IF('Settlement Data'!A125="","",'Settlement Data'!C125)</f>
        <v/>
      </c>
      <c r="C125" s="12">
        <f>IF('Settlement Data'!A125="","",'Settlement Data'!D125)</f>
        <v/>
      </c>
      <c r="D125" s="13">
        <f>IF('Settlement Data'!A125="","",INDEX('TDR Rate Card'!$B$4:$B$8,MATCH(B125,'TDR Rate Card'!$A$4:$A$8,0)))</f>
        <v/>
      </c>
      <c r="E125" s="14">
        <f>IF('Settlement Data'!A125="","",C125*D125)</f>
        <v/>
      </c>
      <c r="F125" s="12">
        <f>IF('Settlement Data'!A125="","",E125*INDEX('TDR Rate Card'!$C$4:$C$8,MATCH(B125,'TDR Rate Card'!$A$4:$A$8,0)))</f>
        <v/>
      </c>
      <c r="G125" s="14">
        <f>IF('Settlement Data'!A125="","",E125+F125)</f>
        <v/>
      </c>
      <c r="H125" s="12">
        <f>IF('Settlement Data'!A125="","",'Settlement Data'!E125)</f>
        <v/>
      </c>
      <c r="I125" s="12">
        <f>IF('Settlement Data'!A125="","",'Settlement Data'!F125)</f>
        <v/>
      </c>
      <c r="J125" s="14">
        <f>IF('Settlement Data'!A125="","",H125+I125)</f>
        <v/>
      </c>
      <c r="K125" s="14">
        <f>IF('Settlement Data'!A125="","",J125-G125)</f>
        <v/>
      </c>
      <c r="L125" s="6">
        <f>IF('Settlement Data'!A125="","",IF(K125&gt;0.5,"OVERCHARGED",IF(K125&lt;-0.5,"UNDERBILLED","MATCH")))</f>
        <v/>
      </c>
    </row>
    <row r="126">
      <c r="A126" s="11">
        <f>IF('Settlement Data'!A126="","",'Settlement Data'!A126)</f>
        <v/>
      </c>
      <c r="B126" s="11">
        <f>IF('Settlement Data'!A126="","",'Settlement Data'!C126)</f>
        <v/>
      </c>
      <c r="C126" s="12">
        <f>IF('Settlement Data'!A126="","",'Settlement Data'!D126)</f>
        <v/>
      </c>
      <c r="D126" s="13">
        <f>IF('Settlement Data'!A126="","",INDEX('TDR Rate Card'!$B$4:$B$8,MATCH(B126,'TDR Rate Card'!$A$4:$A$8,0)))</f>
        <v/>
      </c>
      <c r="E126" s="14">
        <f>IF('Settlement Data'!A126="","",C126*D126)</f>
        <v/>
      </c>
      <c r="F126" s="12">
        <f>IF('Settlement Data'!A126="","",E126*INDEX('TDR Rate Card'!$C$4:$C$8,MATCH(B126,'TDR Rate Card'!$A$4:$A$8,0)))</f>
        <v/>
      </c>
      <c r="G126" s="14">
        <f>IF('Settlement Data'!A126="","",E126+F126)</f>
        <v/>
      </c>
      <c r="H126" s="12">
        <f>IF('Settlement Data'!A126="","",'Settlement Data'!E126)</f>
        <v/>
      </c>
      <c r="I126" s="12">
        <f>IF('Settlement Data'!A126="","",'Settlement Data'!F126)</f>
        <v/>
      </c>
      <c r="J126" s="14">
        <f>IF('Settlement Data'!A126="","",H126+I126)</f>
        <v/>
      </c>
      <c r="K126" s="14">
        <f>IF('Settlement Data'!A126="","",J126-G126)</f>
        <v/>
      </c>
      <c r="L126" s="6">
        <f>IF('Settlement Data'!A126="","",IF(K126&gt;0.5,"OVERCHARGED",IF(K126&lt;-0.5,"UNDERBILLED","MATCH")))</f>
        <v/>
      </c>
    </row>
    <row r="127">
      <c r="A127" s="11">
        <f>IF('Settlement Data'!A127="","",'Settlement Data'!A127)</f>
        <v/>
      </c>
      <c r="B127" s="11">
        <f>IF('Settlement Data'!A127="","",'Settlement Data'!C127)</f>
        <v/>
      </c>
      <c r="C127" s="12">
        <f>IF('Settlement Data'!A127="","",'Settlement Data'!D127)</f>
        <v/>
      </c>
      <c r="D127" s="13">
        <f>IF('Settlement Data'!A127="","",INDEX('TDR Rate Card'!$B$4:$B$8,MATCH(B127,'TDR Rate Card'!$A$4:$A$8,0)))</f>
        <v/>
      </c>
      <c r="E127" s="14">
        <f>IF('Settlement Data'!A127="","",C127*D127)</f>
        <v/>
      </c>
      <c r="F127" s="12">
        <f>IF('Settlement Data'!A127="","",E127*INDEX('TDR Rate Card'!$C$4:$C$8,MATCH(B127,'TDR Rate Card'!$A$4:$A$8,0)))</f>
        <v/>
      </c>
      <c r="G127" s="14">
        <f>IF('Settlement Data'!A127="","",E127+F127)</f>
        <v/>
      </c>
      <c r="H127" s="12">
        <f>IF('Settlement Data'!A127="","",'Settlement Data'!E127)</f>
        <v/>
      </c>
      <c r="I127" s="12">
        <f>IF('Settlement Data'!A127="","",'Settlement Data'!F127)</f>
        <v/>
      </c>
      <c r="J127" s="14">
        <f>IF('Settlement Data'!A127="","",H127+I127)</f>
        <v/>
      </c>
      <c r="K127" s="14">
        <f>IF('Settlement Data'!A127="","",J127-G127)</f>
        <v/>
      </c>
      <c r="L127" s="6">
        <f>IF('Settlement Data'!A127="","",IF(K127&gt;0.5,"OVERCHARGED",IF(K127&lt;-0.5,"UNDERBILLED","MATCH")))</f>
        <v/>
      </c>
    </row>
    <row r="128">
      <c r="A128" s="11">
        <f>IF('Settlement Data'!A128="","",'Settlement Data'!A128)</f>
        <v/>
      </c>
      <c r="B128" s="11">
        <f>IF('Settlement Data'!A128="","",'Settlement Data'!C128)</f>
        <v/>
      </c>
      <c r="C128" s="12">
        <f>IF('Settlement Data'!A128="","",'Settlement Data'!D128)</f>
        <v/>
      </c>
      <c r="D128" s="13">
        <f>IF('Settlement Data'!A128="","",INDEX('TDR Rate Card'!$B$4:$B$8,MATCH(B128,'TDR Rate Card'!$A$4:$A$8,0)))</f>
        <v/>
      </c>
      <c r="E128" s="14">
        <f>IF('Settlement Data'!A128="","",C128*D128)</f>
        <v/>
      </c>
      <c r="F128" s="12">
        <f>IF('Settlement Data'!A128="","",E128*INDEX('TDR Rate Card'!$C$4:$C$8,MATCH(B128,'TDR Rate Card'!$A$4:$A$8,0)))</f>
        <v/>
      </c>
      <c r="G128" s="14">
        <f>IF('Settlement Data'!A128="","",E128+F128)</f>
        <v/>
      </c>
      <c r="H128" s="12">
        <f>IF('Settlement Data'!A128="","",'Settlement Data'!E128)</f>
        <v/>
      </c>
      <c r="I128" s="12">
        <f>IF('Settlement Data'!A128="","",'Settlement Data'!F128)</f>
        <v/>
      </c>
      <c r="J128" s="14">
        <f>IF('Settlement Data'!A128="","",H128+I128)</f>
        <v/>
      </c>
      <c r="K128" s="14">
        <f>IF('Settlement Data'!A128="","",J128-G128)</f>
        <v/>
      </c>
      <c r="L128" s="6">
        <f>IF('Settlement Data'!A128="","",IF(K128&gt;0.5,"OVERCHARGED",IF(K128&lt;-0.5,"UNDERBILLED","MATCH")))</f>
        <v/>
      </c>
    </row>
    <row r="129">
      <c r="A129" s="11">
        <f>IF('Settlement Data'!A129="","",'Settlement Data'!A129)</f>
        <v/>
      </c>
      <c r="B129" s="11">
        <f>IF('Settlement Data'!A129="","",'Settlement Data'!C129)</f>
        <v/>
      </c>
      <c r="C129" s="12">
        <f>IF('Settlement Data'!A129="","",'Settlement Data'!D129)</f>
        <v/>
      </c>
      <c r="D129" s="13">
        <f>IF('Settlement Data'!A129="","",INDEX('TDR Rate Card'!$B$4:$B$8,MATCH(B129,'TDR Rate Card'!$A$4:$A$8,0)))</f>
        <v/>
      </c>
      <c r="E129" s="14">
        <f>IF('Settlement Data'!A129="","",C129*D129)</f>
        <v/>
      </c>
      <c r="F129" s="12">
        <f>IF('Settlement Data'!A129="","",E129*INDEX('TDR Rate Card'!$C$4:$C$8,MATCH(B129,'TDR Rate Card'!$A$4:$A$8,0)))</f>
        <v/>
      </c>
      <c r="G129" s="14">
        <f>IF('Settlement Data'!A129="","",E129+F129)</f>
        <v/>
      </c>
      <c r="H129" s="12">
        <f>IF('Settlement Data'!A129="","",'Settlement Data'!E129)</f>
        <v/>
      </c>
      <c r="I129" s="12">
        <f>IF('Settlement Data'!A129="","",'Settlement Data'!F129)</f>
        <v/>
      </c>
      <c r="J129" s="14">
        <f>IF('Settlement Data'!A129="","",H129+I129)</f>
        <v/>
      </c>
      <c r="K129" s="14">
        <f>IF('Settlement Data'!A129="","",J129-G129)</f>
        <v/>
      </c>
      <c r="L129" s="6">
        <f>IF('Settlement Data'!A129="","",IF(K129&gt;0.5,"OVERCHARGED",IF(K129&lt;-0.5,"UNDERBILLED","MATCH")))</f>
        <v/>
      </c>
    </row>
    <row r="130">
      <c r="A130" s="11">
        <f>IF('Settlement Data'!A130="","",'Settlement Data'!A130)</f>
        <v/>
      </c>
      <c r="B130" s="11">
        <f>IF('Settlement Data'!A130="","",'Settlement Data'!C130)</f>
        <v/>
      </c>
      <c r="C130" s="12">
        <f>IF('Settlement Data'!A130="","",'Settlement Data'!D130)</f>
        <v/>
      </c>
      <c r="D130" s="13">
        <f>IF('Settlement Data'!A130="","",INDEX('TDR Rate Card'!$B$4:$B$8,MATCH(B130,'TDR Rate Card'!$A$4:$A$8,0)))</f>
        <v/>
      </c>
      <c r="E130" s="14">
        <f>IF('Settlement Data'!A130="","",C130*D130)</f>
        <v/>
      </c>
      <c r="F130" s="12">
        <f>IF('Settlement Data'!A130="","",E130*INDEX('TDR Rate Card'!$C$4:$C$8,MATCH(B130,'TDR Rate Card'!$A$4:$A$8,0)))</f>
        <v/>
      </c>
      <c r="G130" s="14">
        <f>IF('Settlement Data'!A130="","",E130+F130)</f>
        <v/>
      </c>
      <c r="H130" s="12">
        <f>IF('Settlement Data'!A130="","",'Settlement Data'!E130)</f>
        <v/>
      </c>
      <c r="I130" s="12">
        <f>IF('Settlement Data'!A130="","",'Settlement Data'!F130)</f>
        <v/>
      </c>
      <c r="J130" s="14">
        <f>IF('Settlement Data'!A130="","",H130+I130)</f>
        <v/>
      </c>
      <c r="K130" s="14">
        <f>IF('Settlement Data'!A130="","",J130-G130)</f>
        <v/>
      </c>
      <c r="L130" s="6">
        <f>IF('Settlement Data'!A130="","",IF(K130&gt;0.5,"OVERCHARGED",IF(K130&lt;-0.5,"UNDERBILLED","MATCH")))</f>
        <v/>
      </c>
    </row>
    <row r="131">
      <c r="A131" s="11">
        <f>IF('Settlement Data'!A131="","",'Settlement Data'!A131)</f>
        <v/>
      </c>
      <c r="B131" s="11">
        <f>IF('Settlement Data'!A131="","",'Settlement Data'!C131)</f>
        <v/>
      </c>
      <c r="C131" s="12">
        <f>IF('Settlement Data'!A131="","",'Settlement Data'!D131)</f>
        <v/>
      </c>
      <c r="D131" s="13">
        <f>IF('Settlement Data'!A131="","",INDEX('TDR Rate Card'!$B$4:$B$8,MATCH(B131,'TDR Rate Card'!$A$4:$A$8,0)))</f>
        <v/>
      </c>
      <c r="E131" s="14">
        <f>IF('Settlement Data'!A131="","",C131*D131)</f>
        <v/>
      </c>
      <c r="F131" s="12">
        <f>IF('Settlement Data'!A131="","",E131*INDEX('TDR Rate Card'!$C$4:$C$8,MATCH(B131,'TDR Rate Card'!$A$4:$A$8,0)))</f>
        <v/>
      </c>
      <c r="G131" s="14">
        <f>IF('Settlement Data'!A131="","",E131+F131)</f>
        <v/>
      </c>
      <c r="H131" s="12">
        <f>IF('Settlement Data'!A131="","",'Settlement Data'!E131)</f>
        <v/>
      </c>
      <c r="I131" s="12">
        <f>IF('Settlement Data'!A131="","",'Settlement Data'!F131)</f>
        <v/>
      </c>
      <c r="J131" s="14">
        <f>IF('Settlement Data'!A131="","",H131+I131)</f>
        <v/>
      </c>
      <c r="K131" s="14">
        <f>IF('Settlement Data'!A131="","",J131-G131)</f>
        <v/>
      </c>
      <c r="L131" s="6">
        <f>IF('Settlement Data'!A131="","",IF(K131&gt;0.5,"OVERCHARGED",IF(K131&lt;-0.5,"UNDERBILLED","MATCH")))</f>
        <v/>
      </c>
    </row>
    <row r="132">
      <c r="A132" s="11">
        <f>IF('Settlement Data'!A132="","",'Settlement Data'!A132)</f>
        <v/>
      </c>
      <c r="B132" s="11">
        <f>IF('Settlement Data'!A132="","",'Settlement Data'!C132)</f>
        <v/>
      </c>
      <c r="C132" s="12">
        <f>IF('Settlement Data'!A132="","",'Settlement Data'!D132)</f>
        <v/>
      </c>
      <c r="D132" s="13">
        <f>IF('Settlement Data'!A132="","",INDEX('TDR Rate Card'!$B$4:$B$8,MATCH(B132,'TDR Rate Card'!$A$4:$A$8,0)))</f>
        <v/>
      </c>
      <c r="E132" s="14">
        <f>IF('Settlement Data'!A132="","",C132*D132)</f>
        <v/>
      </c>
      <c r="F132" s="12">
        <f>IF('Settlement Data'!A132="","",E132*INDEX('TDR Rate Card'!$C$4:$C$8,MATCH(B132,'TDR Rate Card'!$A$4:$A$8,0)))</f>
        <v/>
      </c>
      <c r="G132" s="14">
        <f>IF('Settlement Data'!A132="","",E132+F132)</f>
        <v/>
      </c>
      <c r="H132" s="12">
        <f>IF('Settlement Data'!A132="","",'Settlement Data'!E132)</f>
        <v/>
      </c>
      <c r="I132" s="12">
        <f>IF('Settlement Data'!A132="","",'Settlement Data'!F132)</f>
        <v/>
      </c>
      <c r="J132" s="14">
        <f>IF('Settlement Data'!A132="","",H132+I132)</f>
        <v/>
      </c>
      <c r="K132" s="14">
        <f>IF('Settlement Data'!A132="","",J132-G132)</f>
        <v/>
      </c>
      <c r="L132" s="6">
        <f>IF('Settlement Data'!A132="","",IF(K132&gt;0.5,"OVERCHARGED",IF(K132&lt;-0.5,"UNDERBILLED","MATCH")))</f>
        <v/>
      </c>
    </row>
    <row r="133">
      <c r="A133" s="11">
        <f>IF('Settlement Data'!A133="","",'Settlement Data'!A133)</f>
        <v/>
      </c>
      <c r="B133" s="11">
        <f>IF('Settlement Data'!A133="","",'Settlement Data'!C133)</f>
        <v/>
      </c>
      <c r="C133" s="12">
        <f>IF('Settlement Data'!A133="","",'Settlement Data'!D133)</f>
        <v/>
      </c>
      <c r="D133" s="13">
        <f>IF('Settlement Data'!A133="","",INDEX('TDR Rate Card'!$B$4:$B$8,MATCH(B133,'TDR Rate Card'!$A$4:$A$8,0)))</f>
        <v/>
      </c>
      <c r="E133" s="14">
        <f>IF('Settlement Data'!A133="","",C133*D133)</f>
        <v/>
      </c>
      <c r="F133" s="12">
        <f>IF('Settlement Data'!A133="","",E133*INDEX('TDR Rate Card'!$C$4:$C$8,MATCH(B133,'TDR Rate Card'!$A$4:$A$8,0)))</f>
        <v/>
      </c>
      <c r="G133" s="14">
        <f>IF('Settlement Data'!A133="","",E133+F133)</f>
        <v/>
      </c>
      <c r="H133" s="12">
        <f>IF('Settlement Data'!A133="","",'Settlement Data'!E133)</f>
        <v/>
      </c>
      <c r="I133" s="12">
        <f>IF('Settlement Data'!A133="","",'Settlement Data'!F133)</f>
        <v/>
      </c>
      <c r="J133" s="14">
        <f>IF('Settlement Data'!A133="","",H133+I133)</f>
        <v/>
      </c>
      <c r="K133" s="14">
        <f>IF('Settlement Data'!A133="","",J133-G133)</f>
        <v/>
      </c>
      <c r="L133" s="6">
        <f>IF('Settlement Data'!A133="","",IF(K133&gt;0.5,"OVERCHARGED",IF(K133&lt;-0.5,"UNDERBILLED","MATCH")))</f>
        <v/>
      </c>
    </row>
    <row r="134">
      <c r="A134" s="11">
        <f>IF('Settlement Data'!A134="","",'Settlement Data'!A134)</f>
        <v/>
      </c>
      <c r="B134" s="11">
        <f>IF('Settlement Data'!A134="","",'Settlement Data'!C134)</f>
        <v/>
      </c>
      <c r="C134" s="12">
        <f>IF('Settlement Data'!A134="","",'Settlement Data'!D134)</f>
        <v/>
      </c>
      <c r="D134" s="13">
        <f>IF('Settlement Data'!A134="","",INDEX('TDR Rate Card'!$B$4:$B$8,MATCH(B134,'TDR Rate Card'!$A$4:$A$8,0)))</f>
        <v/>
      </c>
      <c r="E134" s="14">
        <f>IF('Settlement Data'!A134="","",C134*D134)</f>
        <v/>
      </c>
      <c r="F134" s="12">
        <f>IF('Settlement Data'!A134="","",E134*INDEX('TDR Rate Card'!$C$4:$C$8,MATCH(B134,'TDR Rate Card'!$A$4:$A$8,0)))</f>
        <v/>
      </c>
      <c r="G134" s="14">
        <f>IF('Settlement Data'!A134="","",E134+F134)</f>
        <v/>
      </c>
      <c r="H134" s="12">
        <f>IF('Settlement Data'!A134="","",'Settlement Data'!E134)</f>
        <v/>
      </c>
      <c r="I134" s="12">
        <f>IF('Settlement Data'!A134="","",'Settlement Data'!F134)</f>
        <v/>
      </c>
      <c r="J134" s="14">
        <f>IF('Settlement Data'!A134="","",H134+I134)</f>
        <v/>
      </c>
      <c r="K134" s="14">
        <f>IF('Settlement Data'!A134="","",J134-G134)</f>
        <v/>
      </c>
      <c r="L134" s="6">
        <f>IF('Settlement Data'!A134="","",IF(K134&gt;0.5,"OVERCHARGED",IF(K134&lt;-0.5,"UNDERBILLED","MATCH")))</f>
        <v/>
      </c>
    </row>
    <row r="135">
      <c r="A135" s="11">
        <f>IF('Settlement Data'!A135="","",'Settlement Data'!A135)</f>
        <v/>
      </c>
      <c r="B135" s="11">
        <f>IF('Settlement Data'!A135="","",'Settlement Data'!C135)</f>
        <v/>
      </c>
      <c r="C135" s="12">
        <f>IF('Settlement Data'!A135="","",'Settlement Data'!D135)</f>
        <v/>
      </c>
      <c r="D135" s="13">
        <f>IF('Settlement Data'!A135="","",INDEX('TDR Rate Card'!$B$4:$B$8,MATCH(B135,'TDR Rate Card'!$A$4:$A$8,0)))</f>
        <v/>
      </c>
      <c r="E135" s="14">
        <f>IF('Settlement Data'!A135="","",C135*D135)</f>
        <v/>
      </c>
      <c r="F135" s="12">
        <f>IF('Settlement Data'!A135="","",E135*INDEX('TDR Rate Card'!$C$4:$C$8,MATCH(B135,'TDR Rate Card'!$A$4:$A$8,0)))</f>
        <v/>
      </c>
      <c r="G135" s="14">
        <f>IF('Settlement Data'!A135="","",E135+F135)</f>
        <v/>
      </c>
      <c r="H135" s="12">
        <f>IF('Settlement Data'!A135="","",'Settlement Data'!E135)</f>
        <v/>
      </c>
      <c r="I135" s="12">
        <f>IF('Settlement Data'!A135="","",'Settlement Data'!F135)</f>
        <v/>
      </c>
      <c r="J135" s="14">
        <f>IF('Settlement Data'!A135="","",H135+I135)</f>
        <v/>
      </c>
      <c r="K135" s="14">
        <f>IF('Settlement Data'!A135="","",J135-G135)</f>
        <v/>
      </c>
      <c r="L135" s="6">
        <f>IF('Settlement Data'!A135="","",IF(K135&gt;0.5,"OVERCHARGED",IF(K135&lt;-0.5,"UNDERBILLED","MATCH")))</f>
        <v/>
      </c>
    </row>
    <row r="136">
      <c r="A136" s="11">
        <f>IF('Settlement Data'!A136="","",'Settlement Data'!A136)</f>
        <v/>
      </c>
      <c r="B136" s="11">
        <f>IF('Settlement Data'!A136="","",'Settlement Data'!C136)</f>
        <v/>
      </c>
      <c r="C136" s="12">
        <f>IF('Settlement Data'!A136="","",'Settlement Data'!D136)</f>
        <v/>
      </c>
      <c r="D136" s="13">
        <f>IF('Settlement Data'!A136="","",INDEX('TDR Rate Card'!$B$4:$B$8,MATCH(B136,'TDR Rate Card'!$A$4:$A$8,0)))</f>
        <v/>
      </c>
      <c r="E136" s="14">
        <f>IF('Settlement Data'!A136="","",C136*D136)</f>
        <v/>
      </c>
      <c r="F136" s="12">
        <f>IF('Settlement Data'!A136="","",E136*INDEX('TDR Rate Card'!$C$4:$C$8,MATCH(B136,'TDR Rate Card'!$A$4:$A$8,0)))</f>
        <v/>
      </c>
      <c r="G136" s="14">
        <f>IF('Settlement Data'!A136="","",E136+F136)</f>
        <v/>
      </c>
      <c r="H136" s="12">
        <f>IF('Settlement Data'!A136="","",'Settlement Data'!E136)</f>
        <v/>
      </c>
      <c r="I136" s="12">
        <f>IF('Settlement Data'!A136="","",'Settlement Data'!F136)</f>
        <v/>
      </c>
      <c r="J136" s="14">
        <f>IF('Settlement Data'!A136="","",H136+I136)</f>
        <v/>
      </c>
      <c r="K136" s="14">
        <f>IF('Settlement Data'!A136="","",J136-G136)</f>
        <v/>
      </c>
      <c r="L136" s="6">
        <f>IF('Settlement Data'!A136="","",IF(K136&gt;0.5,"OVERCHARGED",IF(K136&lt;-0.5,"UNDERBILLED","MATCH")))</f>
        <v/>
      </c>
    </row>
    <row r="137">
      <c r="A137" s="11">
        <f>IF('Settlement Data'!A137="","",'Settlement Data'!A137)</f>
        <v/>
      </c>
      <c r="B137" s="11">
        <f>IF('Settlement Data'!A137="","",'Settlement Data'!C137)</f>
        <v/>
      </c>
      <c r="C137" s="12">
        <f>IF('Settlement Data'!A137="","",'Settlement Data'!D137)</f>
        <v/>
      </c>
      <c r="D137" s="13">
        <f>IF('Settlement Data'!A137="","",INDEX('TDR Rate Card'!$B$4:$B$8,MATCH(B137,'TDR Rate Card'!$A$4:$A$8,0)))</f>
        <v/>
      </c>
      <c r="E137" s="14">
        <f>IF('Settlement Data'!A137="","",C137*D137)</f>
        <v/>
      </c>
      <c r="F137" s="12">
        <f>IF('Settlement Data'!A137="","",E137*INDEX('TDR Rate Card'!$C$4:$C$8,MATCH(B137,'TDR Rate Card'!$A$4:$A$8,0)))</f>
        <v/>
      </c>
      <c r="G137" s="14">
        <f>IF('Settlement Data'!A137="","",E137+F137)</f>
        <v/>
      </c>
      <c r="H137" s="12">
        <f>IF('Settlement Data'!A137="","",'Settlement Data'!E137)</f>
        <v/>
      </c>
      <c r="I137" s="12">
        <f>IF('Settlement Data'!A137="","",'Settlement Data'!F137)</f>
        <v/>
      </c>
      <c r="J137" s="14">
        <f>IF('Settlement Data'!A137="","",H137+I137)</f>
        <v/>
      </c>
      <c r="K137" s="14">
        <f>IF('Settlement Data'!A137="","",J137-G137)</f>
        <v/>
      </c>
      <c r="L137" s="6">
        <f>IF('Settlement Data'!A137="","",IF(K137&gt;0.5,"OVERCHARGED",IF(K137&lt;-0.5,"UNDERBILLED","MATCH")))</f>
        <v/>
      </c>
    </row>
    <row r="138">
      <c r="A138" s="11">
        <f>IF('Settlement Data'!A138="","",'Settlement Data'!A138)</f>
        <v/>
      </c>
      <c r="B138" s="11">
        <f>IF('Settlement Data'!A138="","",'Settlement Data'!C138)</f>
        <v/>
      </c>
      <c r="C138" s="12">
        <f>IF('Settlement Data'!A138="","",'Settlement Data'!D138)</f>
        <v/>
      </c>
      <c r="D138" s="13">
        <f>IF('Settlement Data'!A138="","",INDEX('TDR Rate Card'!$B$4:$B$8,MATCH(B138,'TDR Rate Card'!$A$4:$A$8,0)))</f>
        <v/>
      </c>
      <c r="E138" s="14">
        <f>IF('Settlement Data'!A138="","",C138*D138)</f>
        <v/>
      </c>
      <c r="F138" s="12">
        <f>IF('Settlement Data'!A138="","",E138*INDEX('TDR Rate Card'!$C$4:$C$8,MATCH(B138,'TDR Rate Card'!$A$4:$A$8,0)))</f>
        <v/>
      </c>
      <c r="G138" s="14">
        <f>IF('Settlement Data'!A138="","",E138+F138)</f>
        <v/>
      </c>
      <c r="H138" s="12">
        <f>IF('Settlement Data'!A138="","",'Settlement Data'!E138)</f>
        <v/>
      </c>
      <c r="I138" s="12">
        <f>IF('Settlement Data'!A138="","",'Settlement Data'!F138)</f>
        <v/>
      </c>
      <c r="J138" s="14">
        <f>IF('Settlement Data'!A138="","",H138+I138)</f>
        <v/>
      </c>
      <c r="K138" s="14">
        <f>IF('Settlement Data'!A138="","",J138-G138)</f>
        <v/>
      </c>
      <c r="L138" s="6">
        <f>IF('Settlement Data'!A138="","",IF(K138&gt;0.5,"OVERCHARGED",IF(K138&lt;-0.5,"UNDERBILLED","MATCH")))</f>
        <v/>
      </c>
    </row>
    <row r="139">
      <c r="A139" s="11">
        <f>IF('Settlement Data'!A139="","",'Settlement Data'!A139)</f>
        <v/>
      </c>
      <c r="B139" s="11">
        <f>IF('Settlement Data'!A139="","",'Settlement Data'!C139)</f>
        <v/>
      </c>
      <c r="C139" s="12">
        <f>IF('Settlement Data'!A139="","",'Settlement Data'!D139)</f>
        <v/>
      </c>
      <c r="D139" s="13">
        <f>IF('Settlement Data'!A139="","",INDEX('TDR Rate Card'!$B$4:$B$8,MATCH(B139,'TDR Rate Card'!$A$4:$A$8,0)))</f>
        <v/>
      </c>
      <c r="E139" s="14">
        <f>IF('Settlement Data'!A139="","",C139*D139)</f>
        <v/>
      </c>
      <c r="F139" s="12">
        <f>IF('Settlement Data'!A139="","",E139*INDEX('TDR Rate Card'!$C$4:$C$8,MATCH(B139,'TDR Rate Card'!$A$4:$A$8,0)))</f>
        <v/>
      </c>
      <c r="G139" s="14">
        <f>IF('Settlement Data'!A139="","",E139+F139)</f>
        <v/>
      </c>
      <c r="H139" s="12">
        <f>IF('Settlement Data'!A139="","",'Settlement Data'!E139)</f>
        <v/>
      </c>
      <c r="I139" s="12">
        <f>IF('Settlement Data'!A139="","",'Settlement Data'!F139)</f>
        <v/>
      </c>
      <c r="J139" s="14">
        <f>IF('Settlement Data'!A139="","",H139+I139)</f>
        <v/>
      </c>
      <c r="K139" s="14">
        <f>IF('Settlement Data'!A139="","",J139-G139)</f>
        <v/>
      </c>
      <c r="L139" s="6">
        <f>IF('Settlement Data'!A139="","",IF(K139&gt;0.5,"OVERCHARGED",IF(K139&lt;-0.5,"UNDERBILLED","MATCH")))</f>
        <v/>
      </c>
    </row>
    <row r="140">
      <c r="A140" s="11">
        <f>IF('Settlement Data'!A140="","",'Settlement Data'!A140)</f>
        <v/>
      </c>
      <c r="B140" s="11">
        <f>IF('Settlement Data'!A140="","",'Settlement Data'!C140)</f>
        <v/>
      </c>
      <c r="C140" s="12">
        <f>IF('Settlement Data'!A140="","",'Settlement Data'!D140)</f>
        <v/>
      </c>
      <c r="D140" s="13">
        <f>IF('Settlement Data'!A140="","",INDEX('TDR Rate Card'!$B$4:$B$8,MATCH(B140,'TDR Rate Card'!$A$4:$A$8,0)))</f>
        <v/>
      </c>
      <c r="E140" s="14">
        <f>IF('Settlement Data'!A140="","",C140*D140)</f>
        <v/>
      </c>
      <c r="F140" s="12">
        <f>IF('Settlement Data'!A140="","",E140*INDEX('TDR Rate Card'!$C$4:$C$8,MATCH(B140,'TDR Rate Card'!$A$4:$A$8,0)))</f>
        <v/>
      </c>
      <c r="G140" s="14">
        <f>IF('Settlement Data'!A140="","",E140+F140)</f>
        <v/>
      </c>
      <c r="H140" s="12">
        <f>IF('Settlement Data'!A140="","",'Settlement Data'!E140)</f>
        <v/>
      </c>
      <c r="I140" s="12">
        <f>IF('Settlement Data'!A140="","",'Settlement Data'!F140)</f>
        <v/>
      </c>
      <c r="J140" s="14">
        <f>IF('Settlement Data'!A140="","",H140+I140)</f>
        <v/>
      </c>
      <c r="K140" s="14">
        <f>IF('Settlement Data'!A140="","",J140-G140)</f>
        <v/>
      </c>
      <c r="L140" s="6">
        <f>IF('Settlement Data'!A140="","",IF(K140&gt;0.5,"OVERCHARGED",IF(K140&lt;-0.5,"UNDERBILLED","MATCH")))</f>
        <v/>
      </c>
    </row>
    <row r="141">
      <c r="A141" s="11">
        <f>IF('Settlement Data'!A141="","",'Settlement Data'!A141)</f>
        <v/>
      </c>
      <c r="B141" s="11">
        <f>IF('Settlement Data'!A141="","",'Settlement Data'!C141)</f>
        <v/>
      </c>
      <c r="C141" s="12">
        <f>IF('Settlement Data'!A141="","",'Settlement Data'!D141)</f>
        <v/>
      </c>
      <c r="D141" s="13">
        <f>IF('Settlement Data'!A141="","",INDEX('TDR Rate Card'!$B$4:$B$8,MATCH(B141,'TDR Rate Card'!$A$4:$A$8,0)))</f>
        <v/>
      </c>
      <c r="E141" s="14">
        <f>IF('Settlement Data'!A141="","",C141*D141)</f>
        <v/>
      </c>
      <c r="F141" s="12">
        <f>IF('Settlement Data'!A141="","",E141*INDEX('TDR Rate Card'!$C$4:$C$8,MATCH(B141,'TDR Rate Card'!$A$4:$A$8,0)))</f>
        <v/>
      </c>
      <c r="G141" s="14">
        <f>IF('Settlement Data'!A141="","",E141+F141)</f>
        <v/>
      </c>
      <c r="H141" s="12">
        <f>IF('Settlement Data'!A141="","",'Settlement Data'!E141)</f>
        <v/>
      </c>
      <c r="I141" s="12">
        <f>IF('Settlement Data'!A141="","",'Settlement Data'!F141)</f>
        <v/>
      </c>
      <c r="J141" s="14">
        <f>IF('Settlement Data'!A141="","",H141+I141)</f>
        <v/>
      </c>
      <c r="K141" s="14">
        <f>IF('Settlement Data'!A141="","",J141-G141)</f>
        <v/>
      </c>
      <c r="L141" s="6">
        <f>IF('Settlement Data'!A141="","",IF(K141&gt;0.5,"OVERCHARGED",IF(K141&lt;-0.5,"UNDERBILLED","MATCH")))</f>
        <v/>
      </c>
    </row>
    <row r="142">
      <c r="A142" s="11">
        <f>IF('Settlement Data'!A142="","",'Settlement Data'!A142)</f>
        <v/>
      </c>
      <c r="B142" s="11">
        <f>IF('Settlement Data'!A142="","",'Settlement Data'!C142)</f>
        <v/>
      </c>
      <c r="C142" s="12">
        <f>IF('Settlement Data'!A142="","",'Settlement Data'!D142)</f>
        <v/>
      </c>
      <c r="D142" s="13">
        <f>IF('Settlement Data'!A142="","",INDEX('TDR Rate Card'!$B$4:$B$8,MATCH(B142,'TDR Rate Card'!$A$4:$A$8,0)))</f>
        <v/>
      </c>
      <c r="E142" s="14">
        <f>IF('Settlement Data'!A142="","",C142*D142)</f>
        <v/>
      </c>
      <c r="F142" s="12">
        <f>IF('Settlement Data'!A142="","",E142*INDEX('TDR Rate Card'!$C$4:$C$8,MATCH(B142,'TDR Rate Card'!$A$4:$A$8,0)))</f>
        <v/>
      </c>
      <c r="G142" s="14">
        <f>IF('Settlement Data'!A142="","",E142+F142)</f>
        <v/>
      </c>
      <c r="H142" s="12">
        <f>IF('Settlement Data'!A142="","",'Settlement Data'!E142)</f>
        <v/>
      </c>
      <c r="I142" s="12">
        <f>IF('Settlement Data'!A142="","",'Settlement Data'!F142)</f>
        <v/>
      </c>
      <c r="J142" s="14">
        <f>IF('Settlement Data'!A142="","",H142+I142)</f>
        <v/>
      </c>
      <c r="K142" s="14">
        <f>IF('Settlement Data'!A142="","",J142-G142)</f>
        <v/>
      </c>
      <c r="L142" s="6">
        <f>IF('Settlement Data'!A142="","",IF(K142&gt;0.5,"OVERCHARGED",IF(K142&lt;-0.5,"UNDERBILLED","MATCH")))</f>
        <v/>
      </c>
    </row>
    <row r="143">
      <c r="A143" s="11">
        <f>IF('Settlement Data'!A143="","",'Settlement Data'!A143)</f>
        <v/>
      </c>
      <c r="B143" s="11">
        <f>IF('Settlement Data'!A143="","",'Settlement Data'!C143)</f>
        <v/>
      </c>
      <c r="C143" s="12">
        <f>IF('Settlement Data'!A143="","",'Settlement Data'!D143)</f>
        <v/>
      </c>
      <c r="D143" s="13">
        <f>IF('Settlement Data'!A143="","",INDEX('TDR Rate Card'!$B$4:$B$8,MATCH(B143,'TDR Rate Card'!$A$4:$A$8,0)))</f>
        <v/>
      </c>
      <c r="E143" s="14">
        <f>IF('Settlement Data'!A143="","",C143*D143)</f>
        <v/>
      </c>
      <c r="F143" s="12">
        <f>IF('Settlement Data'!A143="","",E143*INDEX('TDR Rate Card'!$C$4:$C$8,MATCH(B143,'TDR Rate Card'!$A$4:$A$8,0)))</f>
        <v/>
      </c>
      <c r="G143" s="14">
        <f>IF('Settlement Data'!A143="","",E143+F143)</f>
        <v/>
      </c>
      <c r="H143" s="12">
        <f>IF('Settlement Data'!A143="","",'Settlement Data'!E143)</f>
        <v/>
      </c>
      <c r="I143" s="12">
        <f>IF('Settlement Data'!A143="","",'Settlement Data'!F143)</f>
        <v/>
      </c>
      <c r="J143" s="14">
        <f>IF('Settlement Data'!A143="","",H143+I143)</f>
        <v/>
      </c>
      <c r="K143" s="14">
        <f>IF('Settlement Data'!A143="","",J143-G143)</f>
        <v/>
      </c>
      <c r="L143" s="6">
        <f>IF('Settlement Data'!A143="","",IF(K143&gt;0.5,"OVERCHARGED",IF(K143&lt;-0.5,"UNDERBILLED","MATCH")))</f>
        <v/>
      </c>
    </row>
    <row r="144">
      <c r="A144" s="11">
        <f>IF('Settlement Data'!A144="","",'Settlement Data'!A144)</f>
        <v/>
      </c>
      <c r="B144" s="11">
        <f>IF('Settlement Data'!A144="","",'Settlement Data'!C144)</f>
        <v/>
      </c>
      <c r="C144" s="12">
        <f>IF('Settlement Data'!A144="","",'Settlement Data'!D144)</f>
        <v/>
      </c>
      <c r="D144" s="13">
        <f>IF('Settlement Data'!A144="","",INDEX('TDR Rate Card'!$B$4:$B$8,MATCH(B144,'TDR Rate Card'!$A$4:$A$8,0)))</f>
        <v/>
      </c>
      <c r="E144" s="14">
        <f>IF('Settlement Data'!A144="","",C144*D144)</f>
        <v/>
      </c>
      <c r="F144" s="12">
        <f>IF('Settlement Data'!A144="","",E144*INDEX('TDR Rate Card'!$C$4:$C$8,MATCH(B144,'TDR Rate Card'!$A$4:$A$8,0)))</f>
        <v/>
      </c>
      <c r="G144" s="14">
        <f>IF('Settlement Data'!A144="","",E144+F144)</f>
        <v/>
      </c>
      <c r="H144" s="12">
        <f>IF('Settlement Data'!A144="","",'Settlement Data'!E144)</f>
        <v/>
      </c>
      <c r="I144" s="12">
        <f>IF('Settlement Data'!A144="","",'Settlement Data'!F144)</f>
        <v/>
      </c>
      <c r="J144" s="14">
        <f>IF('Settlement Data'!A144="","",H144+I144)</f>
        <v/>
      </c>
      <c r="K144" s="14">
        <f>IF('Settlement Data'!A144="","",J144-G144)</f>
        <v/>
      </c>
      <c r="L144" s="6">
        <f>IF('Settlement Data'!A144="","",IF(K144&gt;0.5,"OVERCHARGED",IF(K144&lt;-0.5,"UNDERBILLED","MATCH")))</f>
        <v/>
      </c>
    </row>
    <row r="145">
      <c r="A145" s="11">
        <f>IF('Settlement Data'!A145="","",'Settlement Data'!A145)</f>
        <v/>
      </c>
      <c r="B145" s="11">
        <f>IF('Settlement Data'!A145="","",'Settlement Data'!C145)</f>
        <v/>
      </c>
      <c r="C145" s="12">
        <f>IF('Settlement Data'!A145="","",'Settlement Data'!D145)</f>
        <v/>
      </c>
      <c r="D145" s="13">
        <f>IF('Settlement Data'!A145="","",INDEX('TDR Rate Card'!$B$4:$B$8,MATCH(B145,'TDR Rate Card'!$A$4:$A$8,0)))</f>
        <v/>
      </c>
      <c r="E145" s="14">
        <f>IF('Settlement Data'!A145="","",C145*D145)</f>
        <v/>
      </c>
      <c r="F145" s="12">
        <f>IF('Settlement Data'!A145="","",E145*INDEX('TDR Rate Card'!$C$4:$C$8,MATCH(B145,'TDR Rate Card'!$A$4:$A$8,0)))</f>
        <v/>
      </c>
      <c r="G145" s="14">
        <f>IF('Settlement Data'!A145="","",E145+F145)</f>
        <v/>
      </c>
      <c r="H145" s="12">
        <f>IF('Settlement Data'!A145="","",'Settlement Data'!E145)</f>
        <v/>
      </c>
      <c r="I145" s="12">
        <f>IF('Settlement Data'!A145="","",'Settlement Data'!F145)</f>
        <v/>
      </c>
      <c r="J145" s="14">
        <f>IF('Settlement Data'!A145="","",H145+I145)</f>
        <v/>
      </c>
      <c r="K145" s="14">
        <f>IF('Settlement Data'!A145="","",J145-G145)</f>
        <v/>
      </c>
      <c r="L145" s="6">
        <f>IF('Settlement Data'!A145="","",IF(K145&gt;0.5,"OVERCHARGED",IF(K145&lt;-0.5,"UNDERBILLED","MATCH")))</f>
        <v/>
      </c>
    </row>
    <row r="146">
      <c r="A146" s="11">
        <f>IF('Settlement Data'!A146="","",'Settlement Data'!A146)</f>
        <v/>
      </c>
      <c r="B146" s="11">
        <f>IF('Settlement Data'!A146="","",'Settlement Data'!C146)</f>
        <v/>
      </c>
      <c r="C146" s="12">
        <f>IF('Settlement Data'!A146="","",'Settlement Data'!D146)</f>
        <v/>
      </c>
      <c r="D146" s="13">
        <f>IF('Settlement Data'!A146="","",INDEX('TDR Rate Card'!$B$4:$B$8,MATCH(B146,'TDR Rate Card'!$A$4:$A$8,0)))</f>
        <v/>
      </c>
      <c r="E146" s="14">
        <f>IF('Settlement Data'!A146="","",C146*D146)</f>
        <v/>
      </c>
      <c r="F146" s="12">
        <f>IF('Settlement Data'!A146="","",E146*INDEX('TDR Rate Card'!$C$4:$C$8,MATCH(B146,'TDR Rate Card'!$A$4:$A$8,0)))</f>
        <v/>
      </c>
      <c r="G146" s="14">
        <f>IF('Settlement Data'!A146="","",E146+F146)</f>
        <v/>
      </c>
      <c r="H146" s="12">
        <f>IF('Settlement Data'!A146="","",'Settlement Data'!E146)</f>
        <v/>
      </c>
      <c r="I146" s="12">
        <f>IF('Settlement Data'!A146="","",'Settlement Data'!F146)</f>
        <v/>
      </c>
      <c r="J146" s="14">
        <f>IF('Settlement Data'!A146="","",H146+I146)</f>
        <v/>
      </c>
      <c r="K146" s="14">
        <f>IF('Settlement Data'!A146="","",J146-G146)</f>
        <v/>
      </c>
      <c r="L146" s="6">
        <f>IF('Settlement Data'!A146="","",IF(K146&gt;0.5,"OVERCHARGED",IF(K146&lt;-0.5,"UNDERBILLED","MATCH")))</f>
        <v/>
      </c>
    </row>
    <row r="147">
      <c r="A147" s="11">
        <f>IF('Settlement Data'!A147="","",'Settlement Data'!A147)</f>
        <v/>
      </c>
      <c r="B147" s="11">
        <f>IF('Settlement Data'!A147="","",'Settlement Data'!C147)</f>
        <v/>
      </c>
      <c r="C147" s="12">
        <f>IF('Settlement Data'!A147="","",'Settlement Data'!D147)</f>
        <v/>
      </c>
      <c r="D147" s="13">
        <f>IF('Settlement Data'!A147="","",INDEX('TDR Rate Card'!$B$4:$B$8,MATCH(B147,'TDR Rate Card'!$A$4:$A$8,0)))</f>
        <v/>
      </c>
      <c r="E147" s="14">
        <f>IF('Settlement Data'!A147="","",C147*D147)</f>
        <v/>
      </c>
      <c r="F147" s="12">
        <f>IF('Settlement Data'!A147="","",E147*INDEX('TDR Rate Card'!$C$4:$C$8,MATCH(B147,'TDR Rate Card'!$A$4:$A$8,0)))</f>
        <v/>
      </c>
      <c r="G147" s="14">
        <f>IF('Settlement Data'!A147="","",E147+F147)</f>
        <v/>
      </c>
      <c r="H147" s="12">
        <f>IF('Settlement Data'!A147="","",'Settlement Data'!E147)</f>
        <v/>
      </c>
      <c r="I147" s="12">
        <f>IF('Settlement Data'!A147="","",'Settlement Data'!F147)</f>
        <v/>
      </c>
      <c r="J147" s="14">
        <f>IF('Settlement Data'!A147="","",H147+I147)</f>
        <v/>
      </c>
      <c r="K147" s="14">
        <f>IF('Settlement Data'!A147="","",J147-G147)</f>
        <v/>
      </c>
      <c r="L147" s="6">
        <f>IF('Settlement Data'!A147="","",IF(K147&gt;0.5,"OVERCHARGED",IF(K147&lt;-0.5,"UNDERBILLED","MATCH")))</f>
        <v/>
      </c>
    </row>
    <row r="148">
      <c r="A148" s="11">
        <f>IF('Settlement Data'!A148="","",'Settlement Data'!A148)</f>
        <v/>
      </c>
      <c r="B148" s="11">
        <f>IF('Settlement Data'!A148="","",'Settlement Data'!C148)</f>
        <v/>
      </c>
      <c r="C148" s="12">
        <f>IF('Settlement Data'!A148="","",'Settlement Data'!D148)</f>
        <v/>
      </c>
      <c r="D148" s="13">
        <f>IF('Settlement Data'!A148="","",INDEX('TDR Rate Card'!$B$4:$B$8,MATCH(B148,'TDR Rate Card'!$A$4:$A$8,0)))</f>
        <v/>
      </c>
      <c r="E148" s="14">
        <f>IF('Settlement Data'!A148="","",C148*D148)</f>
        <v/>
      </c>
      <c r="F148" s="12">
        <f>IF('Settlement Data'!A148="","",E148*INDEX('TDR Rate Card'!$C$4:$C$8,MATCH(B148,'TDR Rate Card'!$A$4:$A$8,0)))</f>
        <v/>
      </c>
      <c r="G148" s="14">
        <f>IF('Settlement Data'!A148="","",E148+F148)</f>
        <v/>
      </c>
      <c r="H148" s="12">
        <f>IF('Settlement Data'!A148="","",'Settlement Data'!E148)</f>
        <v/>
      </c>
      <c r="I148" s="12">
        <f>IF('Settlement Data'!A148="","",'Settlement Data'!F148)</f>
        <v/>
      </c>
      <c r="J148" s="14">
        <f>IF('Settlement Data'!A148="","",H148+I148)</f>
        <v/>
      </c>
      <c r="K148" s="14">
        <f>IF('Settlement Data'!A148="","",J148-G148)</f>
        <v/>
      </c>
      <c r="L148" s="6">
        <f>IF('Settlement Data'!A148="","",IF(K148&gt;0.5,"OVERCHARGED",IF(K148&lt;-0.5,"UNDERBILLED","MATCH")))</f>
        <v/>
      </c>
    </row>
    <row r="149">
      <c r="A149" s="11">
        <f>IF('Settlement Data'!A149="","",'Settlement Data'!A149)</f>
        <v/>
      </c>
      <c r="B149" s="11">
        <f>IF('Settlement Data'!A149="","",'Settlement Data'!C149)</f>
        <v/>
      </c>
      <c r="C149" s="12">
        <f>IF('Settlement Data'!A149="","",'Settlement Data'!D149)</f>
        <v/>
      </c>
      <c r="D149" s="13">
        <f>IF('Settlement Data'!A149="","",INDEX('TDR Rate Card'!$B$4:$B$8,MATCH(B149,'TDR Rate Card'!$A$4:$A$8,0)))</f>
        <v/>
      </c>
      <c r="E149" s="14">
        <f>IF('Settlement Data'!A149="","",C149*D149)</f>
        <v/>
      </c>
      <c r="F149" s="12">
        <f>IF('Settlement Data'!A149="","",E149*INDEX('TDR Rate Card'!$C$4:$C$8,MATCH(B149,'TDR Rate Card'!$A$4:$A$8,0)))</f>
        <v/>
      </c>
      <c r="G149" s="14">
        <f>IF('Settlement Data'!A149="","",E149+F149)</f>
        <v/>
      </c>
      <c r="H149" s="12">
        <f>IF('Settlement Data'!A149="","",'Settlement Data'!E149)</f>
        <v/>
      </c>
      <c r="I149" s="12">
        <f>IF('Settlement Data'!A149="","",'Settlement Data'!F149)</f>
        <v/>
      </c>
      <c r="J149" s="14">
        <f>IF('Settlement Data'!A149="","",H149+I149)</f>
        <v/>
      </c>
      <c r="K149" s="14">
        <f>IF('Settlement Data'!A149="","",J149-G149)</f>
        <v/>
      </c>
      <c r="L149" s="6">
        <f>IF('Settlement Data'!A149="","",IF(K149&gt;0.5,"OVERCHARGED",IF(K149&lt;-0.5,"UNDERBILLED","MATCH")))</f>
        <v/>
      </c>
    </row>
    <row r="150">
      <c r="A150" s="11">
        <f>IF('Settlement Data'!A150="","",'Settlement Data'!A150)</f>
        <v/>
      </c>
      <c r="B150" s="11">
        <f>IF('Settlement Data'!A150="","",'Settlement Data'!C150)</f>
        <v/>
      </c>
      <c r="C150" s="12">
        <f>IF('Settlement Data'!A150="","",'Settlement Data'!D150)</f>
        <v/>
      </c>
      <c r="D150" s="13">
        <f>IF('Settlement Data'!A150="","",INDEX('TDR Rate Card'!$B$4:$B$8,MATCH(B150,'TDR Rate Card'!$A$4:$A$8,0)))</f>
        <v/>
      </c>
      <c r="E150" s="14">
        <f>IF('Settlement Data'!A150="","",C150*D150)</f>
        <v/>
      </c>
      <c r="F150" s="12">
        <f>IF('Settlement Data'!A150="","",E150*INDEX('TDR Rate Card'!$C$4:$C$8,MATCH(B150,'TDR Rate Card'!$A$4:$A$8,0)))</f>
        <v/>
      </c>
      <c r="G150" s="14">
        <f>IF('Settlement Data'!A150="","",E150+F150)</f>
        <v/>
      </c>
      <c r="H150" s="12">
        <f>IF('Settlement Data'!A150="","",'Settlement Data'!E150)</f>
        <v/>
      </c>
      <c r="I150" s="12">
        <f>IF('Settlement Data'!A150="","",'Settlement Data'!F150)</f>
        <v/>
      </c>
      <c r="J150" s="14">
        <f>IF('Settlement Data'!A150="","",H150+I150)</f>
        <v/>
      </c>
      <c r="K150" s="14">
        <f>IF('Settlement Data'!A150="","",J150-G150)</f>
        <v/>
      </c>
      <c r="L150" s="6">
        <f>IF('Settlement Data'!A150="","",IF(K150&gt;0.5,"OVERCHARGED",IF(K150&lt;-0.5,"UNDERBILLED","MATCH")))</f>
        <v/>
      </c>
    </row>
    <row r="151">
      <c r="A151" s="11">
        <f>IF('Settlement Data'!A151="","",'Settlement Data'!A151)</f>
        <v/>
      </c>
      <c r="B151" s="11">
        <f>IF('Settlement Data'!A151="","",'Settlement Data'!C151)</f>
        <v/>
      </c>
      <c r="C151" s="12">
        <f>IF('Settlement Data'!A151="","",'Settlement Data'!D151)</f>
        <v/>
      </c>
      <c r="D151" s="13">
        <f>IF('Settlement Data'!A151="","",INDEX('TDR Rate Card'!$B$4:$B$8,MATCH(B151,'TDR Rate Card'!$A$4:$A$8,0)))</f>
        <v/>
      </c>
      <c r="E151" s="14">
        <f>IF('Settlement Data'!A151="","",C151*D151)</f>
        <v/>
      </c>
      <c r="F151" s="12">
        <f>IF('Settlement Data'!A151="","",E151*INDEX('TDR Rate Card'!$C$4:$C$8,MATCH(B151,'TDR Rate Card'!$A$4:$A$8,0)))</f>
        <v/>
      </c>
      <c r="G151" s="14">
        <f>IF('Settlement Data'!A151="","",E151+F151)</f>
        <v/>
      </c>
      <c r="H151" s="12">
        <f>IF('Settlement Data'!A151="","",'Settlement Data'!E151)</f>
        <v/>
      </c>
      <c r="I151" s="12">
        <f>IF('Settlement Data'!A151="","",'Settlement Data'!F151)</f>
        <v/>
      </c>
      <c r="J151" s="14">
        <f>IF('Settlement Data'!A151="","",H151+I151)</f>
        <v/>
      </c>
      <c r="K151" s="14">
        <f>IF('Settlement Data'!A151="","",J151-G151)</f>
        <v/>
      </c>
      <c r="L151" s="6">
        <f>IF('Settlement Data'!A151="","",IF(K151&gt;0.5,"OVERCHARGED",IF(K151&lt;-0.5,"UNDERBILLED","MATCH")))</f>
        <v/>
      </c>
    </row>
    <row r="152">
      <c r="A152" s="11">
        <f>IF('Settlement Data'!A152="","",'Settlement Data'!A152)</f>
        <v/>
      </c>
      <c r="B152" s="11">
        <f>IF('Settlement Data'!A152="","",'Settlement Data'!C152)</f>
        <v/>
      </c>
      <c r="C152" s="12">
        <f>IF('Settlement Data'!A152="","",'Settlement Data'!D152)</f>
        <v/>
      </c>
      <c r="D152" s="13">
        <f>IF('Settlement Data'!A152="","",INDEX('TDR Rate Card'!$B$4:$B$8,MATCH(B152,'TDR Rate Card'!$A$4:$A$8,0)))</f>
        <v/>
      </c>
      <c r="E152" s="14">
        <f>IF('Settlement Data'!A152="","",C152*D152)</f>
        <v/>
      </c>
      <c r="F152" s="12">
        <f>IF('Settlement Data'!A152="","",E152*INDEX('TDR Rate Card'!$C$4:$C$8,MATCH(B152,'TDR Rate Card'!$A$4:$A$8,0)))</f>
        <v/>
      </c>
      <c r="G152" s="14">
        <f>IF('Settlement Data'!A152="","",E152+F152)</f>
        <v/>
      </c>
      <c r="H152" s="12">
        <f>IF('Settlement Data'!A152="","",'Settlement Data'!E152)</f>
        <v/>
      </c>
      <c r="I152" s="12">
        <f>IF('Settlement Data'!A152="","",'Settlement Data'!F152)</f>
        <v/>
      </c>
      <c r="J152" s="14">
        <f>IF('Settlement Data'!A152="","",H152+I152)</f>
        <v/>
      </c>
      <c r="K152" s="14">
        <f>IF('Settlement Data'!A152="","",J152-G152)</f>
        <v/>
      </c>
      <c r="L152" s="6">
        <f>IF('Settlement Data'!A152="","",IF(K152&gt;0.5,"OVERCHARGED",IF(K152&lt;-0.5,"UNDERBILLED","MATCH")))</f>
        <v/>
      </c>
    </row>
    <row r="153">
      <c r="A153" s="11">
        <f>IF('Settlement Data'!A153="","",'Settlement Data'!A153)</f>
        <v/>
      </c>
      <c r="B153" s="11">
        <f>IF('Settlement Data'!A153="","",'Settlement Data'!C153)</f>
        <v/>
      </c>
      <c r="C153" s="12">
        <f>IF('Settlement Data'!A153="","",'Settlement Data'!D153)</f>
        <v/>
      </c>
      <c r="D153" s="13">
        <f>IF('Settlement Data'!A153="","",INDEX('TDR Rate Card'!$B$4:$B$8,MATCH(B153,'TDR Rate Card'!$A$4:$A$8,0)))</f>
        <v/>
      </c>
      <c r="E153" s="14">
        <f>IF('Settlement Data'!A153="","",C153*D153)</f>
        <v/>
      </c>
      <c r="F153" s="12">
        <f>IF('Settlement Data'!A153="","",E153*INDEX('TDR Rate Card'!$C$4:$C$8,MATCH(B153,'TDR Rate Card'!$A$4:$A$8,0)))</f>
        <v/>
      </c>
      <c r="G153" s="14">
        <f>IF('Settlement Data'!A153="","",E153+F153)</f>
        <v/>
      </c>
      <c r="H153" s="12">
        <f>IF('Settlement Data'!A153="","",'Settlement Data'!E153)</f>
        <v/>
      </c>
      <c r="I153" s="12">
        <f>IF('Settlement Data'!A153="","",'Settlement Data'!F153)</f>
        <v/>
      </c>
      <c r="J153" s="14">
        <f>IF('Settlement Data'!A153="","",H153+I153)</f>
        <v/>
      </c>
      <c r="K153" s="14">
        <f>IF('Settlement Data'!A153="","",J153-G153)</f>
        <v/>
      </c>
      <c r="L153" s="6">
        <f>IF('Settlement Data'!A153="","",IF(K153&gt;0.5,"OVERCHARGED",IF(K153&lt;-0.5,"UNDERBILLED","MATCH")))</f>
        <v/>
      </c>
    </row>
    <row r="154">
      <c r="A154" s="11">
        <f>IF('Settlement Data'!A154="","",'Settlement Data'!A154)</f>
        <v/>
      </c>
      <c r="B154" s="11">
        <f>IF('Settlement Data'!A154="","",'Settlement Data'!C154)</f>
        <v/>
      </c>
      <c r="C154" s="12">
        <f>IF('Settlement Data'!A154="","",'Settlement Data'!D154)</f>
        <v/>
      </c>
      <c r="D154" s="13">
        <f>IF('Settlement Data'!A154="","",INDEX('TDR Rate Card'!$B$4:$B$8,MATCH(B154,'TDR Rate Card'!$A$4:$A$8,0)))</f>
        <v/>
      </c>
      <c r="E154" s="14">
        <f>IF('Settlement Data'!A154="","",C154*D154)</f>
        <v/>
      </c>
      <c r="F154" s="12">
        <f>IF('Settlement Data'!A154="","",E154*INDEX('TDR Rate Card'!$C$4:$C$8,MATCH(B154,'TDR Rate Card'!$A$4:$A$8,0)))</f>
        <v/>
      </c>
      <c r="G154" s="14">
        <f>IF('Settlement Data'!A154="","",E154+F154)</f>
        <v/>
      </c>
      <c r="H154" s="12">
        <f>IF('Settlement Data'!A154="","",'Settlement Data'!E154)</f>
        <v/>
      </c>
      <c r="I154" s="12">
        <f>IF('Settlement Data'!A154="","",'Settlement Data'!F154)</f>
        <v/>
      </c>
      <c r="J154" s="14">
        <f>IF('Settlement Data'!A154="","",H154+I154)</f>
        <v/>
      </c>
      <c r="K154" s="14">
        <f>IF('Settlement Data'!A154="","",J154-G154)</f>
        <v/>
      </c>
      <c r="L154" s="6">
        <f>IF('Settlement Data'!A154="","",IF(K154&gt;0.5,"OVERCHARGED",IF(K154&lt;-0.5,"UNDERBILLED","MATCH")))</f>
        <v/>
      </c>
    </row>
    <row r="155">
      <c r="A155" s="11">
        <f>IF('Settlement Data'!A155="","",'Settlement Data'!A155)</f>
        <v/>
      </c>
      <c r="B155" s="11">
        <f>IF('Settlement Data'!A155="","",'Settlement Data'!C155)</f>
        <v/>
      </c>
      <c r="C155" s="12">
        <f>IF('Settlement Data'!A155="","",'Settlement Data'!D155)</f>
        <v/>
      </c>
      <c r="D155" s="13">
        <f>IF('Settlement Data'!A155="","",INDEX('TDR Rate Card'!$B$4:$B$8,MATCH(B155,'TDR Rate Card'!$A$4:$A$8,0)))</f>
        <v/>
      </c>
      <c r="E155" s="14">
        <f>IF('Settlement Data'!A155="","",C155*D155)</f>
        <v/>
      </c>
      <c r="F155" s="12">
        <f>IF('Settlement Data'!A155="","",E155*INDEX('TDR Rate Card'!$C$4:$C$8,MATCH(B155,'TDR Rate Card'!$A$4:$A$8,0)))</f>
        <v/>
      </c>
      <c r="G155" s="14">
        <f>IF('Settlement Data'!A155="","",E155+F155)</f>
        <v/>
      </c>
      <c r="H155" s="12">
        <f>IF('Settlement Data'!A155="","",'Settlement Data'!E155)</f>
        <v/>
      </c>
      <c r="I155" s="12">
        <f>IF('Settlement Data'!A155="","",'Settlement Data'!F155)</f>
        <v/>
      </c>
      <c r="J155" s="14">
        <f>IF('Settlement Data'!A155="","",H155+I155)</f>
        <v/>
      </c>
      <c r="K155" s="14">
        <f>IF('Settlement Data'!A155="","",J155-G155)</f>
        <v/>
      </c>
      <c r="L155" s="6">
        <f>IF('Settlement Data'!A155="","",IF(K155&gt;0.5,"OVERCHARGED",IF(K155&lt;-0.5,"UNDERBILLED","MATCH")))</f>
        <v/>
      </c>
    </row>
    <row r="156">
      <c r="A156" s="11">
        <f>IF('Settlement Data'!A156="","",'Settlement Data'!A156)</f>
        <v/>
      </c>
      <c r="B156" s="11">
        <f>IF('Settlement Data'!A156="","",'Settlement Data'!C156)</f>
        <v/>
      </c>
      <c r="C156" s="12">
        <f>IF('Settlement Data'!A156="","",'Settlement Data'!D156)</f>
        <v/>
      </c>
      <c r="D156" s="13">
        <f>IF('Settlement Data'!A156="","",INDEX('TDR Rate Card'!$B$4:$B$8,MATCH(B156,'TDR Rate Card'!$A$4:$A$8,0)))</f>
        <v/>
      </c>
      <c r="E156" s="14">
        <f>IF('Settlement Data'!A156="","",C156*D156)</f>
        <v/>
      </c>
      <c r="F156" s="12">
        <f>IF('Settlement Data'!A156="","",E156*INDEX('TDR Rate Card'!$C$4:$C$8,MATCH(B156,'TDR Rate Card'!$A$4:$A$8,0)))</f>
        <v/>
      </c>
      <c r="G156" s="14">
        <f>IF('Settlement Data'!A156="","",E156+F156)</f>
        <v/>
      </c>
      <c r="H156" s="12">
        <f>IF('Settlement Data'!A156="","",'Settlement Data'!E156)</f>
        <v/>
      </c>
      <c r="I156" s="12">
        <f>IF('Settlement Data'!A156="","",'Settlement Data'!F156)</f>
        <v/>
      </c>
      <c r="J156" s="14">
        <f>IF('Settlement Data'!A156="","",H156+I156)</f>
        <v/>
      </c>
      <c r="K156" s="14">
        <f>IF('Settlement Data'!A156="","",J156-G156)</f>
        <v/>
      </c>
      <c r="L156" s="6">
        <f>IF('Settlement Data'!A156="","",IF(K156&gt;0.5,"OVERCHARGED",IF(K156&lt;-0.5,"UNDERBILLED","MATCH")))</f>
        <v/>
      </c>
    </row>
    <row r="157">
      <c r="A157" s="11">
        <f>IF('Settlement Data'!A157="","",'Settlement Data'!A157)</f>
        <v/>
      </c>
      <c r="B157" s="11">
        <f>IF('Settlement Data'!A157="","",'Settlement Data'!C157)</f>
        <v/>
      </c>
      <c r="C157" s="12">
        <f>IF('Settlement Data'!A157="","",'Settlement Data'!D157)</f>
        <v/>
      </c>
      <c r="D157" s="13">
        <f>IF('Settlement Data'!A157="","",INDEX('TDR Rate Card'!$B$4:$B$8,MATCH(B157,'TDR Rate Card'!$A$4:$A$8,0)))</f>
        <v/>
      </c>
      <c r="E157" s="14">
        <f>IF('Settlement Data'!A157="","",C157*D157)</f>
        <v/>
      </c>
      <c r="F157" s="12">
        <f>IF('Settlement Data'!A157="","",E157*INDEX('TDR Rate Card'!$C$4:$C$8,MATCH(B157,'TDR Rate Card'!$A$4:$A$8,0)))</f>
        <v/>
      </c>
      <c r="G157" s="14">
        <f>IF('Settlement Data'!A157="","",E157+F157)</f>
        <v/>
      </c>
      <c r="H157" s="12">
        <f>IF('Settlement Data'!A157="","",'Settlement Data'!E157)</f>
        <v/>
      </c>
      <c r="I157" s="12">
        <f>IF('Settlement Data'!A157="","",'Settlement Data'!F157)</f>
        <v/>
      </c>
      <c r="J157" s="14">
        <f>IF('Settlement Data'!A157="","",H157+I157)</f>
        <v/>
      </c>
      <c r="K157" s="14">
        <f>IF('Settlement Data'!A157="","",J157-G157)</f>
        <v/>
      </c>
      <c r="L157" s="6">
        <f>IF('Settlement Data'!A157="","",IF(K157&gt;0.5,"OVERCHARGED",IF(K157&lt;-0.5,"UNDERBILLED","MATCH")))</f>
        <v/>
      </c>
    </row>
    <row r="158">
      <c r="A158" s="11">
        <f>IF('Settlement Data'!A158="","",'Settlement Data'!A158)</f>
        <v/>
      </c>
      <c r="B158" s="11">
        <f>IF('Settlement Data'!A158="","",'Settlement Data'!C158)</f>
        <v/>
      </c>
      <c r="C158" s="12">
        <f>IF('Settlement Data'!A158="","",'Settlement Data'!D158)</f>
        <v/>
      </c>
      <c r="D158" s="13">
        <f>IF('Settlement Data'!A158="","",INDEX('TDR Rate Card'!$B$4:$B$8,MATCH(B158,'TDR Rate Card'!$A$4:$A$8,0)))</f>
        <v/>
      </c>
      <c r="E158" s="14">
        <f>IF('Settlement Data'!A158="","",C158*D158)</f>
        <v/>
      </c>
      <c r="F158" s="12">
        <f>IF('Settlement Data'!A158="","",E158*INDEX('TDR Rate Card'!$C$4:$C$8,MATCH(B158,'TDR Rate Card'!$A$4:$A$8,0)))</f>
        <v/>
      </c>
      <c r="G158" s="14">
        <f>IF('Settlement Data'!A158="","",E158+F158)</f>
        <v/>
      </c>
      <c r="H158" s="12">
        <f>IF('Settlement Data'!A158="","",'Settlement Data'!E158)</f>
        <v/>
      </c>
      <c r="I158" s="12">
        <f>IF('Settlement Data'!A158="","",'Settlement Data'!F158)</f>
        <v/>
      </c>
      <c r="J158" s="14">
        <f>IF('Settlement Data'!A158="","",H158+I158)</f>
        <v/>
      </c>
      <c r="K158" s="14">
        <f>IF('Settlement Data'!A158="","",J158-G158)</f>
        <v/>
      </c>
      <c r="L158" s="6">
        <f>IF('Settlement Data'!A158="","",IF(K158&gt;0.5,"OVERCHARGED",IF(K158&lt;-0.5,"UNDERBILLED","MATCH")))</f>
        <v/>
      </c>
    </row>
    <row r="159">
      <c r="A159" s="11">
        <f>IF('Settlement Data'!A159="","",'Settlement Data'!A159)</f>
        <v/>
      </c>
      <c r="B159" s="11">
        <f>IF('Settlement Data'!A159="","",'Settlement Data'!C159)</f>
        <v/>
      </c>
      <c r="C159" s="12">
        <f>IF('Settlement Data'!A159="","",'Settlement Data'!D159)</f>
        <v/>
      </c>
      <c r="D159" s="13">
        <f>IF('Settlement Data'!A159="","",INDEX('TDR Rate Card'!$B$4:$B$8,MATCH(B159,'TDR Rate Card'!$A$4:$A$8,0)))</f>
        <v/>
      </c>
      <c r="E159" s="14">
        <f>IF('Settlement Data'!A159="","",C159*D159)</f>
        <v/>
      </c>
      <c r="F159" s="12">
        <f>IF('Settlement Data'!A159="","",E159*INDEX('TDR Rate Card'!$C$4:$C$8,MATCH(B159,'TDR Rate Card'!$A$4:$A$8,0)))</f>
        <v/>
      </c>
      <c r="G159" s="14">
        <f>IF('Settlement Data'!A159="","",E159+F159)</f>
        <v/>
      </c>
      <c r="H159" s="12">
        <f>IF('Settlement Data'!A159="","",'Settlement Data'!E159)</f>
        <v/>
      </c>
      <c r="I159" s="12">
        <f>IF('Settlement Data'!A159="","",'Settlement Data'!F159)</f>
        <v/>
      </c>
      <c r="J159" s="14">
        <f>IF('Settlement Data'!A159="","",H159+I159)</f>
        <v/>
      </c>
      <c r="K159" s="14">
        <f>IF('Settlement Data'!A159="","",J159-G159)</f>
        <v/>
      </c>
      <c r="L159" s="6">
        <f>IF('Settlement Data'!A159="","",IF(K159&gt;0.5,"OVERCHARGED",IF(K159&lt;-0.5,"UNDERBILLED","MATCH")))</f>
        <v/>
      </c>
    </row>
    <row r="160">
      <c r="A160" s="11">
        <f>IF('Settlement Data'!A160="","",'Settlement Data'!A160)</f>
        <v/>
      </c>
      <c r="B160" s="11">
        <f>IF('Settlement Data'!A160="","",'Settlement Data'!C160)</f>
        <v/>
      </c>
      <c r="C160" s="12">
        <f>IF('Settlement Data'!A160="","",'Settlement Data'!D160)</f>
        <v/>
      </c>
      <c r="D160" s="13">
        <f>IF('Settlement Data'!A160="","",INDEX('TDR Rate Card'!$B$4:$B$8,MATCH(B160,'TDR Rate Card'!$A$4:$A$8,0)))</f>
        <v/>
      </c>
      <c r="E160" s="14">
        <f>IF('Settlement Data'!A160="","",C160*D160)</f>
        <v/>
      </c>
      <c r="F160" s="12">
        <f>IF('Settlement Data'!A160="","",E160*INDEX('TDR Rate Card'!$C$4:$C$8,MATCH(B160,'TDR Rate Card'!$A$4:$A$8,0)))</f>
        <v/>
      </c>
      <c r="G160" s="14">
        <f>IF('Settlement Data'!A160="","",E160+F160)</f>
        <v/>
      </c>
      <c r="H160" s="12">
        <f>IF('Settlement Data'!A160="","",'Settlement Data'!E160)</f>
        <v/>
      </c>
      <c r="I160" s="12">
        <f>IF('Settlement Data'!A160="","",'Settlement Data'!F160)</f>
        <v/>
      </c>
      <c r="J160" s="14">
        <f>IF('Settlement Data'!A160="","",H160+I160)</f>
        <v/>
      </c>
      <c r="K160" s="14">
        <f>IF('Settlement Data'!A160="","",J160-G160)</f>
        <v/>
      </c>
      <c r="L160" s="6">
        <f>IF('Settlement Data'!A160="","",IF(K160&gt;0.5,"OVERCHARGED",IF(K160&lt;-0.5,"UNDERBILLED","MATCH")))</f>
        <v/>
      </c>
    </row>
    <row r="161">
      <c r="A161" s="11">
        <f>IF('Settlement Data'!A161="","",'Settlement Data'!A161)</f>
        <v/>
      </c>
      <c r="B161" s="11">
        <f>IF('Settlement Data'!A161="","",'Settlement Data'!C161)</f>
        <v/>
      </c>
      <c r="C161" s="12">
        <f>IF('Settlement Data'!A161="","",'Settlement Data'!D161)</f>
        <v/>
      </c>
      <c r="D161" s="13">
        <f>IF('Settlement Data'!A161="","",INDEX('TDR Rate Card'!$B$4:$B$8,MATCH(B161,'TDR Rate Card'!$A$4:$A$8,0)))</f>
        <v/>
      </c>
      <c r="E161" s="14">
        <f>IF('Settlement Data'!A161="","",C161*D161)</f>
        <v/>
      </c>
      <c r="F161" s="12">
        <f>IF('Settlement Data'!A161="","",E161*INDEX('TDR Rate Card'!$C$4:$C$8,MATCH(B161,'TDR Rate Card'!$A$4:$A$8,0)))</f>
        <v/>
      </c>
      <c r="G161" s="14">
        <f>IF('Settlement Data'!A161="","",E161+F161)</f>
        <v/>
      </c>
      <c r="H161" s="12">
        <f>IF('Settlement Data'!A161="","",'Settlement Data'!E161)</f>
        <v/>
      </c>
      <c r="I161" s="12">
        <f>IF('Settlement Data'!A161="","",'Settlement Data'!F161)</f>
        <v/>
      </c>
      <c r="J161" s="14">
        <f>IF('Settlement Data'!A161="","",H161+I161)</f>
        <v/>
      </c>
      <c r="K161" s="14">
        <f>IF('Settlement Data'!A161="","",J161-G161)</f>
        <v/>
      </c>
      <c r="L161" s="6">
        <f>IF('Settlement Data'!A161="","",IF(K161&gt;0.5,"OVERCHARGED",IF(K161&lt;-0.5,"UNDERBILLED","MATCH")))</f>
        <v/>
      </c>
    </row>
    <row r="162">
      <c r="A162" s="11">
        <f>IF('Settlement Data'!A162="","",'Settlement Data'!A162)</f>
        <v/>
      </c>
      <c r="B162" s="11">
        <f>IF('Settlement Data'!A162="","",'Settlement Data'!C162)</f>
        <v/>
      </c>
      <c r="C162" s="12">
        <f>IF('Settlement Data'!A162="","",'Settlement Data'!D162)</f>
        <v/>
      </c>
      <c r="D162" s="13">
        <f>IF('Settlement Data'!A162="","",INDEX('TDR Rate Card'!$B$4:$B$8,MATCH(B162,'TDR Rate Card'!$A$4:$A$8,0)))</f>
        <v/>
      </c>
      <c r="E162" s="14">
        <f>IF('Settlement Data'!A162="","",C162*D162)</f>
        <v/>
      </c>
      <c r="F162" s="12">
        <f>IF('Settlement Data'!A162="","",E162*INDEX('TDR Rate Card'!$C$4:$C$8,MATCH(B162,'TDR Rate Card'!$A$4:$A$8,0)))</f>
        <v/>
      </c>
      <c r="G162" s="14">
        <f>IF('Settlement Data'!A162="","",E162+F162)</f>
        <v/>
      </c>
      <c r="H162" s="12">
        <f>IF('Settlement Data'!A162="","",'Settlement Data'!E162)</f>
        <v/>
      </c>
      <c r="I162" s="12">
        <f>IF('Settlement Data'!A162="","",'Settlement Data'!F162)</f>
        <v/>
      </c>
      <c r="J162" s="14">
        <f>IF('Settlement Data'!A162="","",H162+I162)</f>
        <v/>
      </c>
      <c r="K162" s="14">
        <f>IF('Settlement Data'!A162="","",J162-G162)</f>
        <v/>
      </c>
      <c r="L162" s="6">
        <f>IF('Settlement Data'!A162="","",IF(K162&gt;0.5,"OVERCHARGED",IF(K162&lt;-0.5,"UNDERBILLED","MATCH")))</f>
        <v/>
      </c>
    </row>
    <row r="163">
      <c r="A163" s="11">
        <f>IF('Settlement Data'!A163="","",'Settlement Data'!A163)</f>
        <v/>
      </c>
      <c r="B163" s="11">
        <f>IF('Settlement Data'!A163="","",'Settlement Data'!C163)</f>
        <v/>
      </c>
      <c r="C163" s="12">
        <f>IF('Settlement Data'!A163="","",'Settlement Data'!D163)</f>
        <v/>
      </c>
      <c r="D163" s="13">
        <f>IF('Settlement Data'!A163="","",INDEX('TDR Rate Card'!$B$4:$B$8,MATCH(B163,'TDR Rate Card'!$A$4:$A$8,0)))</f>
        <v/>
      </c>
      <c r="E163" s="14">
        <f>IF('Settlement Data'!A163="","",C163*D163)</f>
        <v/>
      </c>
      <c r="F163" s="12">
        <f>IF('Settlement Data'!A163="","",E163*INDEX('TDR Rate Card'!$C$4:$C$8,MATCH(B163,'TDR Rate Card'!$A$4:$A$8,0)))</f>
        <v/>
      </c>
      <c r="G163" s="14">
        <f>IF('Settlement Data'!A163="","",E163+F163)</f>
        <v/>
      </c>
      <c r="H163" s="12">
        <f>IF('Settlement Data'!A163="","",'Settlement Data'!E163)</f>
        <v/>
      </c>
      <c r="I163" s="12">
        <f>IF('Settlement Data'!A163="","",'Settlement Data'!F163)</f>
        <v/>
      </c>
      <c r="J163" s="14">
        <f>IF('Settlement Data'!A163="","",H163+I163)</f>
        <v/>
      </c>
      <c r="K163" s="14">
        <f>IF('Settlement Data'!A163="","",J163-G163)</f>
        <v/>
      </c>
      <c r="L163" s="6">
        <f>IF('Settlement Data'!A163="","",IF(K163&gt;0.5,"OVERCHARGED",IF(K163&lt;-0.5,"UNDERBILLED","MATCH")))</f>
        <v/>
      </c>
    </row>
    <row r="164">
      <c r="A164" s="11">
        <f>IF('Settlement Data'!A164="","",'Settlement Data'!A164)</f>
        <v/>
      </c>
      <c r="B164" s="11">
        <f>IF('Settlement Data'!A164="","",'Settlement Data'!C164)</f>
        <v/>
      </c>
      <c r="C164" s="12">
        <f>IF('Settlement Data'!A164="","",'Settlement Data'!D164)</f>
        <v/>
      </c>
      <c r="D164" s="13">
        <f>IF('Settlement Data'!A164="","",INDEX('TDR Rate Card'!$B$4:$B$8,MATCH(B164,'TDR Rate Card'!$A$4:$A$8,0)))</f>
        <v/>
      </c>
      <c r="E164" s="14">
        <f>IF('Settlement Data'!A164="","",C164*D164)</f>
        <v/>
      </c>
      <c r="F164" s="12">
        <f>IF('Settlement Data'!A164="","",E164*INDEX('TDR Rate Card'!$C$4:$C$8,MATCH(B164,'TDR Rate Card'!$A$4:$A$8,0)))</f>
        <v/>
      </c>
      <c r="G164" s="14">
        <f>IF('Settlement Data'!A164="","",E164+F164)</f>
        <v/>
      </c>
      <c r="H164" s="12">
        <f>IF('Settlement Data'!A164="","",'Settlement Data'!E164)</f>
        <v/>
      </c>
      <c r="I164" s="12">
        <f>IF('Settlement Data'!A164="","",'Settlement Data'!F164)</f>
        <v/>
      </c>
      <c r="J164" s="14">
        <f>IF('Settlement Data'!A164="","",H164+I164)</f>
        <v/>
      </c>
      <c r="K164" s="14">
        <f>IF('Settlement Data'!A164="","",J164-G164)</f>
        <v/>
      </c>
      <c r="L164" s="6">
        <f>IF('Settlement Data'!A164="","",IF(K164&gt;0.5,"OVERCHARGED",IF(K164&lt;-0.5,"UNDERBILLED","MATCH")))</f>
        <v/>
      </c>
    </row>
    <row r="165">
      <c r="A165" s="11">
        <f>IF('Settlement Data'!A165="","",'Settlement Data'!A165)</f>
        <v/>
      </c>
      <c r="B165" s="11">
        <f>IF('Settlement Data'!A165="","",'Settlement Data'!C165)</f>
        <v/>
      </c>
      <c r="C165" s="12">
        <f>IF('Settlement Data'!A165="","",'Settlement Data'!D165)</f>
        <v/>
      </c>
      <c r="D165" s="13">
        <f>IF('Settlement Data'!A165="","",INDEX('TDR Rate Card'!$B$4:$B$8,MATCH(B165,'TDR Rate Card'!$A$4:$A$8,0)))</f>
        <v/>
      </c>
      <c r="E165" s="14">
        <f>IF('Settlement Data'!A165="","",C165*D165)</f>
        <v/>
      </c>
      <c r="F165" s="12">
        <f>IF('Settlement Data'!A165="","",E165*INDEX('TDR Rate Card'!$C$4:$C$8,MATCH(B165,'TDR Rate Card'!$A$4:$A$8,0)))</f>
        <v/>
      </c>
      <c r="G165" s="14">
        <f>IF('Settlement Data'!A165="","",E165+F165)</f>
        <v/>
      </c>
      <c r="H165" s="12">
        <f>IF('Settlement Data'!A165="","",'Settlement Data'!E165)</f>
        <v/>
      </c>
      <c r="I165" s="12">
        <f>IF('Settlement Data'!A165="","",'Settlement Data'!F165)</f>
        <v/>
      </c>
      <c r="J165" s="14">
        <f>IF('Settlement Data'!A165="","",H165+I165)</f>
        <v/>
      </c>
      <c r="K165" s="14">
        <f>IF('Settlement Data'!A165="","",J165-G165)</f>
        <v/>
      </c>
      <c r="L165" s="6">
        <f>IF('Settlement Data'!A165="","",IF(K165&gt;0.5,"OVERCHARGED",IF(K165&lt;-0.5,"UNDERBILLED","MATCH")))</f>
        <v/>
      </c>
    </row>
    <row r="166">
      <c r="A166" s="11">
        <f>IF('Settlement Data'!A166="","",'Settlement Data'!A166)</f>
        <v/>
      </c>
      <c r="B166" s="11">
        <f>IF('Settlement Data'!A166="","",'Settlement Data'!C166)</f>
        <v/>
      </c>
      <c r="C166" s="12">
        <f>IF('Settlement Data'!A166="","",'Settlement Data'!D166)</f>
        <v/>
      </c>
      <c r="D166" s="13">
        <f>IF('Settlement Data'!A166="","",INDEX('TDR Rate Card'!$B$4:$B$8,MATCH(B166,'TDR Rate Card'!$A$4:$A$8,0)))</f>
        <v/>
      </c>
      <c r="E166" s="14">
        <f>IF('Settlement Data'!A166="","",C166*D166)</f>
        <v/>
      </c>
      <c r="F166" s="12">
        <f>IF('Settlement Data'!A166="","",E166*INDEX('TDR Rate Card'!$C$4:$C$8,MATCH(B166,'TDR Rate Card'!$A$4:$A$8,0)))</f>
        <v/>
      </c>
      <c r="G166" s="14">
        <f>IF('Settlement Data'!A166="","",E166+F166)</f>
        <v/>
      </c>
      <c r="H166" s="12">
        <f>IF('Settlement Data'!A166="","",'Settlement Data'!E166)</f>
        <v/>
      </c>
      <c r="I166" s="12">
        <f>IF('Settlement Data'!A166="","",'Settlement Data'!F166)</f>
        <v/>
      </c>
      <c r="J166" s="14">
        <f>IF('Settlement Data'!A166="","",H166+I166)</f>
        <v/>
      </c>
      <c r="K166" s="14">
        <f>IF('Settlement Data'!A166="","",J166-G166)</f>
        <v/>
      </c>
      <c r="L166" s="6">
        <f>IF('Settlement Data'!A166="","",IF(K166&gt;0.5,"OVERCHARGED",IF(K166&lt;-0.5,"UNDERBILLED","MATCH")))</f>
        <v/>
      </c>
    </row>
    <row r="167">
      <c r="A167" s="11">
        <f>IF('Settlement Data'!A167="","",'Settlement Data'!A167)</f>
        <v/>
      </c>
      <c r="B167" s="11">
        <f>IF('Settlement Data'!A167="","",'Settlement Data'!C167)</f>
        <v/>
      </c>
      <c r="C167" s="12">
        <f>IF('Settlement Data'!A167="","",'Settlement Data'!D167)</f>
        <v/>
      </c>
      <c r="D167" s="13">
        <f>IF('Settlement Data'!A167="","",INDEX('TDR Rate Card'!$B$4:$B$8,MATCH(B167,'TDR Rate Card'!$A$4:$A$8,0)))</f>
        <v/>
      </c>
      <c r="E167" s="14">
        <f>IF('Settlement Data'!A167="","",C167*D167)</f>
        <v/>
      </c>
      <c r="F167" s="12">
        <f>IF('Settlement Data'!A167="","",E167*INDEX('TDR Rate Card'!$C$4:$C$8,MATCH(B167,'TDR Rate Card'!$A$4:$A$8,0)))</f>
        <v/>
      </c>
      <c r="G167" s="14">
        <f>IF('Settlement Data'!A167="","",E167+F167)</f>
        <v/>
      </c>
      <c r="H167" s="12">
        <f>IF('Settlement Data'!A167="","",'Settlement Data'!E167)</f>
        <v/>
      </c>
      <c r="I167" s="12">
        <f>IF('Settlement Data'!A167="","",'Settlement Data'!F167)</f>
        <v/>
      </c>
      <c r="J167" s="14">
        <f>IF('Settlement Data'!A167="","",H167+I167)</f>
        <v/>
      </c>
      <c r="K167" s="14">
        <f>IF('Settlement Data'!A167="","",J167-G167)</f>
        <v/>
      </c>
      <c r="L167" s="6">
        <f>IF('Settlement Data'!A167="","",IF(K167&gt;0.5,"OVERCHARGED",IF(K167&lt;-0.5,"UNDERBILLED","MATCH")))</f>
        <v/>
      </c>
    </row>
    <row r="168">
      <c r="A168" s="11">
        <f>IF('Settlement Data'!A168="","",'Settlement Data'!A168)</f>
        <v/>
      </c>
      <c r="B168" s="11">
        <f>IF('Settlement Data'!A168="","",'Settlement Data'!C168)</f>
        <v/>
      </c>
      <c r="C168" s="12">
        <f>IF('Settlement Data'!A168="","",'Settlement Data'!D168)</f>
        <v/>
      </c>
      <c r="D168" s="13">
        <f>IF('Settlement Data'!A168="","",INDEX('TDR Rate Card'!$B$4:$B$8,MATCH(B168,'TDR Rate Card'!$A$4:$A$8,0)))</f>
        <v/>
      </c>
      <c r="E168" s="14">
        <f>IF('Settlement Data'!A168="","",C168*D168)</f>
        <v/>
      </c>
      <c r="F168" s="12">
        <f>IF('Settlement Data'!A168="","",E168*INDEX('TDR Rate Card'!$C$4:$C$8,MATCH(B168,'TDR Rate Card'!$A$4:$A$8,0)))</f>
        <v/>
      </c>
      <c r="G168" s="14">
        <f>IF('Settlement Data'!A168="","",E168+F168)</f>
        <v/>
      </c>
      <c r="H168" s="12">
        <f>IF('Settlement Data'!A168="","",'Settlement Data'!E168)</f>
        <v/>
      </c>
      <c r="I168" s="12">
        <f>IF('Settlement Data'!A168="","",'Settlement Data'!F168)</f>
        <v/>
      </c>
      <c r="J168" s="14">
        <f>IF('Settlement Data'!A168="","",H168+I168)</f>
        <v/>
      </c>
      <c r="K168" s="14">
        <f>IF('Settlement Data'!A168="","",J168-G168)</f>
        <v/>
      </c>
      <c r="L168" s="6">
        <f>IF('Settlement Data'!A168="","",IF(K168&gt;0.5,"OVERCHARGED",IF(K168&lt;-0.5,"UNDERBILLED","MATCH")))</f>
        <v/>
      </c>
    </row>
    <row r="169">
      <c r="A169" s="11">
        <f>IF('Settlement Data'!A169="","",'Settlement Data'!A169)</f>
        <v/>
      </c>
      <c r="B169" s="11">
        <f>IF('Settlement Data'!A169="","",'Settlement Data'!C169)</f>
        <v/>
      </c>
      <c r="C169" s="12">
        <f>IF('Settlement Data'!A169="","",'Settlement Data'!D169)</f>
        <v/>
      </c>
      <c r="D169" s="13">
        <f>IF('Settlement Data'!A169="","",INDEX('TDR Rate Card'!$B$4:$B$8,MATCH(B169,'TDR Rate Card'!$A$4:$A$8,0)))</f>
        <v/>
      </c>
      <c r="E169" s="14">
        <f>IF('Settlement Data'!A169="","",C169*D169)</f>
        <v/>
      </c>
      <c r="F169" s="12">
        <f>IF('Settlement Data'!A169="","",E169*INDEX('TDR Rate Card'!$C$4:$C$8,MATCH(B169,'TDR Rate Card'!$A$4:$A$8,0)))</f>
        <v/>
      </c>
      <c r="G169" s="14">
        <f>IF('Settlement Data'!A169="","",E169+F169)</f>
        <v/>
      </c>
      <c r="H169" s="12">
        <f>IF('Settlement Data'!A169="","",'Settlement Data'!E169)</f>
        <v/>
      </c>
      <c r="I169" s="12">
        <f>IF('Settlement Data'!A169="","",'Settlement Data'!F169)</f>
        <v/>
      </c>
      <c r="J169" s="14">
        <f>IF('Settlement Data'!A169="","",H169+I169)</f>
        <v/>
      </c>
      <c r="K169" s="14">
        <f>IF('Settlement Data'!A169="","",J169-G169)</f>
        <v/>
      </c>
      <c r="L169" s="6">
        <f>IF('Settlement Data'!A169="","",IF(K169&gt;0.5,"OVERCHARGED",IF(K169&lt;-0.5,"UNDERBILLED","MATCH")))</f>
        <v/>
      </c>
    </row>
    <row r="170">
      <c r="A170" s="11">
        <f>IF('Settlement Data'!A170="","",'Settlement Data'!A170)</f>
        <v/>
      </c>
      <c r="B170" s="11">
        <f>IF('Settlement Data'!A170="","",'Settlement Data'!C170)</f>
        <v/>
      </c>
      <c r="C170" s="12">
        <f>IF('Settlement Data'!A170="","",'Settlement Data'!D170)</f>
        <v/>
      </c>
      <c r="D170" s="13">
        <f>IF('Settlement Data'!A170="","",INDEX('TDR Rate Card'!$B$4:$B$8,MATCH(B170,'TDR Rate Card'!$A$4:$A$8,0)))</f>
        <v/>
      </c>
      <c r="E170" s="14">
        <f>IF('Settlement Data'!A170="","",C170*D170)</f>
        <v/>
      </c>
      <c r="F170" s="12">
        <f>IF('Settlement Data'!A170="","",E170*INDEX('TDR Rate Card'!$C$4:$C$8,MATCH(B170,'TDR Rate Card'!$A$4:$A$8,0)))</f>
        <v/>
      </c>
      <c r="G170" s="14">
        <f>IF('Settlement Data'!A170="","",E170+F170)</f>
        <v/>
      </c>
      <c r="H170" s="12">
        <f>IF('Settlement Data'!A170="","",'Settlement Data'!E170)</f>
        <v/>
      </c>
      <c r="I170" s="12">
        <f>IF('Settlement Data'!A170="","",'Settlement Data'!F170)</f>
        <v/>
      </c>
      <c r="J170" s="14">
        <f>IF('Settlement Data'!A170="","",H170+I170)</f>
        <v/>
      </c>
      <c r="K170" s="14">
        <f>IF('Settlement Data'!A170="","",J170-G170)</f>
        <v/>
      </c>
      <c r="L170" s="6">
        <f>IF('Settlement Data'!A170="","",IF(K170&gt;0.5,"OVERCHARGED",IF(K170&lt;-0.5,"UNDERBILLED","MATCH")))</f>
        <v/>
      </c>
    </row>
    <row r="171">
      <c r="A171" s="11">
        <f>IF('Settlement Data'!A171="","",'Settlement Data'!A171)</f>
        <v/>
      </c>
      <c r="B171" s="11">
        <f>IF('Settlement Data'!A171="","",'Settlement Data'!C171)</f>
        <v/>
      </c>
      <c r="C171" s="12">
        <f>IF('Settlement Data'!A171="","",'Settlement Data'!D171)</f>
        <v/>
      </c>
      <c r="D171" s="13">
        <f>IF('Settlement Data'!A171="","",INDEX('TDR Rate Card'!$B$4:$B$8,MATCH(B171,'TDR Rate Card'!$A$4:$A$8,0)))</f>
        <v/>
      </c>
      <c r="E171" s="14">
        <f>IF('Settlement Data'!A171="","",C171*D171)</f>
        <v/>
      </c>
      <c r="F171" s="12">
        <f>IF('Settlement Data'!A171="","",E171*INDEX('TDR Rate Card'!$C$4:$C$8,MATCH(B171,'TDR Rate Card'!$A$4:$A$8,0)))</f>
        <v/>
      </c>
      <c r="G171" s="14">
        <f>IF('Settlement Data'!A171="","",E171+F171)</f>
        <v/>
      </c>
      <c r="H171" s="12">
        <f>IF('Settlement Data'!A171="","",'Settlement Data'!E171)</f>
        <v/>
      </c>
      <c r="I171" s="12">
        <f>IF('Settlement Data'!A171="","",'Settlement Data'!F171)</f>
        <v/>
      </c>
      <c r="J171" s="14">
        <f>IF('Settlement Data'!A171="","",H171+I171)</f>
        <v/>
      </c>
      <c r="K171" s="14">
        <f>IF('Settlement Data'!A171="","",J171-G171)</f>
        <v/>
      </c>
      <c r="L171" s="6">
        <f>IF('Settlement Data'!A171="","",IF(K171&gt;0.5,"OVERCHARGED",IF(K171&lt;-0.5,"UNDERBILLED","MATCH")))</f>
        <v/>
      </c>
    </row>
    <row r="172">
      <c r="A172" s="11">
        <f>IF('Settlement Data'!A172="","",'Settlement Data'!A172)</f>
        <v/>
      </c>
      <c r="B172" s="11">
        <f>IF('Settlement Data'!A172="","",'Settlement Data'!C172)</f>
        <v/>
      </c>
      <c r="C172" s="12">
        <f>IF('Settlement Data'!A172="","",'Settlement Data'!D172)</f>
        <v/>
      </c>
      <c r="D172" s="13">
        <f>IF('Settlement Data'!A172="","",INDEX('TDR Rate Card'!$B$4:$B$8,MATCH(B172,'TDR Rate Card'!$A$4:$A$8,0)))</f>
        <v/>
      </c>
      <c r="E172" s="14">
        <f>IF('Settlement Data'!A172="","",C172*D172)</f>
        <v/>
      </c>
      <c r="F172" s="12">
        <f>IF('Settlement Data'!A172="","",E172*INDEX('TDR Rate Card'!$C$4:$C$8,MATCH(B172,'TDR Rate Card'!$A$4:$A$8,0)))</f>
        <v/>
      </c>
      <c r="G172" s="14">
        <f>IF('Settlement Data'!A172="","",E172+F172)</f>
        <v/>
      </c>
      <c r="H172" s="12">
        <f>IF('Settlement Data'!A172="","",'Settlement Data'!E172)</f>
        <v/>
      </c>
      <c r="I172" s="12">
        <f>IF('Settlement Data'!A172="","",'Settlement Data'!F172)</f>
        <v/>
      </c>
      <c r="J172" s="14">
        <f>IF('Settlement Data'!A172="","",H172+I172)</f>
        <v/>
      </c>
      <c r="K172" s="14">
        <f>IF('Settlement Data'!A172="","",J172-G172)</f>
        <v/>
      </c>
      <c r="L172" s="6">
        <f>IF('Settlement Data'!A172="","",IF(K172&gt;0.5,"OVERCHARGED",IF(K172&lt;-0.5,"UNDERBILLED","MATCH")))</f>
        <v/>
      </c>
    </row>
    <row r="173">
      <c r="A173" s="11">
        <f>IF('Settlement Data'!A173="","",'Settlement Data'!A173)</f>
        <v/>
      </c>
      <c r="B173" s="11">
        <f>IF('Settlement Data'!A173="","",'Settlement Data'!C173)</f>
        <v/>
      </c>
      <c r="C173" s="12">
        <f>IF('Settlement Data'!A173="","",'Settlement Data'!D173)</f>
        <v/>
      </c>
      <c r="D173" s="13">
        <f>IF('Settlement Data'!A173="","",INDEX('TDR Rate Card'!$B$4:$B$8,MATCH(B173,'TDR Rate Card'!$A$4:$A$8,0)))</f>
        <v/>
      </c>
      <c r="E173" s="14">
        <f>IF('Settlement Data'!A173="","",C173*D173)</f>
        <v/>
      </c>
      <c r="F173" s="12">
        <f>IF('Settlement Data'!A173="","",E173*INDEX('TDR Rate Card'!$C$4:$C$8,MATCH(B173,'TDR Rate Card'!$A$4:$A$8,0)))</f>
        <v/>
      </c>
      <c r="G173" s="14">
        <f>IF('Settlement Data'!A173="","",E173+F173)</f>
        <v/>
      </c>
      <c r="H173" s="12">
        <f>IF('Settlement Data'!A173="","",'Settlement Data'!E173)</f>
        <v/>
      </c>
      <c r="I173" s="12">
        <f>IF('Settlement Data'!A173="","",'Settlement Data'!F173)</f>
        <v/>
      </c>
      <c r="J173" s="14">
        <f>IF('Settlement Data'!A173="","",H173+I173)</f>
        <v/>
      </c>
      <c r="K173" s="14">
        <f>IF('Settlement Data'!A173="","",J173-G173)</f>
        <v/>
      </c>
      <c r="L173" s="6">
        <f>IF('Settlement Data'!A173="","",IF(K173&gt;0.5,"OVERCHARGED",IF(K173&lt;-0.5,"UNDERBILLED","MATCH")))</f>
        <v/>
      </c>
    </row>
    <row r="174">
      <c r="A174" s="11">
        <f>IF('Settlement Data'!A174="","",'Settlement Data'!A174)</f>
        <v/>
      </c>
      <c r="B174" s="11">
        <f>IF('Settlement Data'!A174="","",'Settlement Data'!C174)</f>
        <v/>
      </c>
      <c r="C174" s="12">
        <f>IF('Settlement Data'!A174="","",'Settlement Data'!D174)</f>
        <v/>
      </c>
      <c r="D174" s="13">
        <f>IF('Settlement Data'!A174="","",INDEX('TDR Rate Card'!$B$4:$B$8,MATCH(B174,'TDR Rate Card'!$A$4:$A$8,0)))</f>
        <v/>
      </c>
      <c r="E174" s="14">
        <f>IF('Settlement Data'!A174="","",C174*D174)</f>
        <v/>
      </c>
      <c r="F174" s="12">
        <f>IF('Settlement Data'!A174="","",E174*INDEX('TDR Rate Card'!$C$4:$C$8,MATCH(B174,'TDR Rate Card'!$A$4:$A$8,0)))</f>
        <v/>
      </c>
      <c r="G174" s="14">
        <f>IF('Settlement Data'!A174="","",E174+F174)</f>
        <v/>
      </c>
      <c r="H174" s="12">
        <f>IF('Settlement Data'!A174="","",'Settlement Data'!E174)</f>
        <v/>
      </c>
      <c r="I174" s="12">
        <f>IF('Settlement Data'!A174="","",'Settlement Data'!F174)</f>
        <v/>
      </c>
      <c r="J174" s="14">
        <f>IF('Settlement Data'!A174="","",H174+I174)</f>
        <v/>
      </c>
      <c r="K174" s="14">
        <f>IF('Settlement Data'!A174="","",J174-G174)</f>
        <v/>
      </c>
      <c r="L174" s="6">
        <f>IF('Settlement Data'!A174="","",IF(K174&gt;0.5,"OVERCHARGED",IF(K174&lt;-0.5,"UNDERBILLED","MATCH")))</f>
        <v/>
      </c>
    </row>
    <row r="175">
      <c r="A175" s="11">
        <f>IF('Settlement Data'!A175="","",'Settlement Data'!A175)</f>
        <v/>
      </c>
      <c r="B175" s="11">
        <f>IF('Settlement Data'!A175="","",'Settlement Data'!C175)</f>
        <v/>
      </c>
      <c r="C175" s="12">
        <f>IF('Settlement Data'!A175="","",'Settlement Data'!D175)</f>
        <v/>
      </c>
      <c r="D175" s="13">
        <f>IF('Settlement Data'!A175="","",INDEX('TDR Rate Card'!$B$4:$B$8,MATCH(B175,'TDR Rate Card'!$A$4:$A$8,0)))</f>
        <v/>
      </c>
      <c r="E175" s="14">
        <f>IF('Settlement Data'!A175="","",C175*D175)</f>
        <v/>
      </c>
      <c r="F175" s="12">
        <f>IF('Settlement Data'!A175="","",E175*INDEX('TDR Rate Card'!$C$4:$C$8,MATCH(B175,'TDR Rate Card'!$A$4:$A$8,0)))</f>
        <v/>
      </c>
      <c r="G175" s="14">
        <f>IF('Settlement Data'!A175="","",E175+F175)</f>
        <v/>
      </c>
      <c r="H175" s="12">
        <f>IF('Settlement Data'!A175="","",'Settlement Data'!E175)</f>
        <v/>
      </c>
      <c r="I175" s="12">
        <f>IF('Settlement Data'!A175="","",'Settlement Data'!F175)</f>
        <v/>
      </c>
      <c r="J175" s="14">
        <f>IF('Settlement Data'!A175="","",H175+I175)</f>
        <v/>
      </c>
      <c r="K175" s="14">
        <f>IF('Settlement Data'!A175="","",J175-G175)</f>
        <v/>
      </c>
      <c r="L175" s="6">
        <f>IF('Settlement Data'!A175="","",IF(K175&gt;0.5,"OVERCHARGED",IF(K175&lt;-0.5,"UNDERBILLED","MATCH")))</f>
        <v/>
      </c>
    </row>
    <row r="176">
      <c r="A176" s="11">
        <f>IF('Settlement Data'!A176="","",'Settlement Data'!A176)</f>
        <v/>
      </c>
      <c r="B176" s="11">
        <f>IF('Settlement Data'!A176="","",'Settlement Data'!C176)</f>
        <v/>
      </c>
      <c r="C176" s="12">
        <f>IF('Settlement Data'!A176="","",'Settlement Data'!D176)</f>
        <v/>
      </c>
      <c r="D176" s="13">
        <f>IF('Settlement Data'!A176="","",INDEX('TDR Rate Card'!$B$4:$B$8,MATCH(B176,'TDR Rate Card'!$A$4:$A$8,0)))</f>
        <v/>
      </c>
      <c r="E176" s="14">
        <f>IF('Settlement Data'!A176="","",C176*D176)</f>
        <v/>
      </c>
      <c r="F176" s="12">
        <f>IF('Settlement Data'!A176="","",E176*INDEX('TDR Rate Card'!$C$4:$C$8,MATCH(B176,'TDR Rate Card'!$A$4:$A$8,0)))</f>
        <v/>
      </c>
      <c r="G176" s="14">
        <f>IF('Settlement Data'!A176="","",E176+F176)</f>
        <v/>
      </c>
      <c r="H176" s="12">
        <f>IF('Settlement Data'!A176="","",'Settlement Data'!E176)</f>
        <v/>
      </c>
      <c r="I176" s="12">
        <f>IF('Settlement Data'!A176="","",'Settlement Data'!F176)</f>
        <v/>
      </c>
      <c r="J176" s="14">
        <f>IF('Settlement Data'!A176="","",H176+I176)</f>
        <v/>
      </c>
      <c r="K176" s="14">
        <f>IF('Settlement Data'!A176="","",J176-G176)</f>
        <v/>
      </c>
      <c r="L176" s="6">
        <f>IF('Settlement Data'!A176="","",IF(K176&gt;0.5,"OVERCHARGED",IF(K176&lt;-0.5,"UNDERBILLED","MATCH")))</f>
        <v/>
      </c>
    </row>
    <row r="177">
      <c r="A177" s="11">
        <f>IF('Settlement Data'!A177="","",'Settlement Data'!A177)</f>
        <v/>
      </c>
      <c r="B177" s="11">
        <f>IF('Settlement Data'!A177="","",'Settlement Data'!C177)</f>
        <v/>
      </c>
      <c r="C177" s="12">
        <f>IF('Settlement Data'!A177="","",'Settlement Data'!D177)</f>
        <v/>
      </c>
      <c r="D177" s="13">
        <f>IF('Settlement Data'!A177="","",INDEX('TDR Rate Card'!$B$4:$B$8,MATCH(B177,'TDR Rate Card'!$A$4:$A$8,0)))</f>
        <v/>
      </c>
      <c r="E177" s="14">
        <f>IF('Settlement Data'!A177="","",C177*D177)</f>
        <v/>
      </c>
      <c r="F177" s="12">
        <f>IF('Settlement Data'!A177="","",E177*INDEX('TDR Rate Card'!$C$4:$C$8,MATCH(B177,'TDR Rate Card'!$A$4:$A$8,0)))</f>
        <v/>
      </c>
      <c r="G177" s="14">
        <f>IF('Settlement Data'!A177="","",E177+F177)</f>
        <v/>
      </c>
      <c r="H177" s="12">
        <f>IF('Settlement Data'!A177="","",'Settlement Data'!E177)</f>
        <v/>
      </c>
      <c r="I177" s="12">
        <f>IF('Settlement Data'!A177="","",'Settlement Data'!F177)</f>
        <v/>
      </c>
      <c r="J177" s="14">
        <f>IF('Settlement Data'!A177="","",H177+I177)</f>
        <v/>
      </c>
      <c r="K177" s="14">
        <f>IF('Settlement Data'!A177="","",J177-G177)</f>
        <v/>
      </c>
      <c r="L177" s="6">
        <f>IF('Settlement Data'!A177="","",IF(K177&gt;0.5,"OVERCHARGED",IF(K177&lt;-0.5,"UNDERBILLED","MATCH")))</f>
        <v/>
      </c>
    </row>
    <row r="178">
      <c r="A178" s="11">
        <f>IF('Settlement Data'!A178="","",'Settlement Data'!A178)</f>
        <v/>
      </c>
      <c r="B178" s="11">
        <f>IF('Settlement Data'!A178="","",'Settlement Data'!C178)</f>
        <v/>
      </c>
      <c r="C178" s="12">
        <f>IF('Settlement Data'!A178="","",'Settlement Data'!D178)</f>
        <v/>
      </c>
      <c r="D178" s="13">
        <f>IF('Settlement Data'!A178="","",INDEX('TDR Rate Card'!$B$4:$B$8,MATCH(B178,'TDR Rate Card'!$A$4:$A$8,0)))</f>
        <v/>
      </c>
      <c r="E178" s="14">
        <f>IF('Settlement Data'!A178="","",C178*D178)</f>
        <v/>
      </c>
      <c r="F178" s="12">
        <f>IF('Settlement Data'!A178="","",E178*INDEX('TDR Rate Card'!$C$4:$C$8,MATCH(B178,'TDR Rate Card'!$A$4:$A$8,0)))</f>
        <v/>
      </c>
      <c r="G178" s="14">
        <f>IF('Settlement Data'!A178="","",E178+F178)</f>
        <v/>
      </c>
      <c r="H178" s="12">
        <f>IF('Settlement Data'!A178="","",'Settlement Data'!E178)</f>
        <v/>
      </c>
      <c r="I178" s="12">
        <f>IF('Settlement Data'!A178="","",'Settlement Data'!F178)</f>
        <v/>
      </c>
      <c r="J178" s="14">
        <f>IF('Settlement Data'!A178="","",H178+I178)</f>
        <v/>
      </c>
      <c r="K178" s="14">
        <f>IF('Settlement Data'!A178="","",J178-G178)</f>
        <v/>
      </c>
      <c r="L178" s="6">
        <f>IF('Settlement Data'!A178="","",IF(K178&gt;0.5,"OVERCHARGED",IF(K178&lt;-0.5,"UNDERBILLED","MATCH")))</f>
        <v/>
      </c>
    </row>
    <row r="179">
      <c r="A179" s="11">
        <f>IF('Settlement Data'!A179="","",'Settlement Data'!A179)</f>
        <v/>
      </c>
      <c r="B179" s="11">
        <f>IF('Settlement Data'!A179="","",'Settlement Data'!C179)</f>
        <v/>
      </c>
      <c r="C179" s="12">
        <f>IF('Settlement Data'!A179="","",'Settlement Data'!D179)</f>
        <v/>
      </c>
      <c r="D179" s="13">
        <f>IF('Settlement Data'!A179="","",INDEX('TDR Rate Card'!$B$4:$B$8,MATCH(B179,'TDR Rate Card'!$A$4:$A$8,0)))</f>
        <v/>
      </c>
      <c r="E179" s="14">
        <f>IF('Settlement Data'!A179="","",C179*D179)</f>
        <v/>
      </c>
      <c r="F179" s="12">
        <f>IF('Settlement Data'!A179="","",E179*INDEX('TDR Rate Card'!$C$4:$C$8,MATCH(B179,'TDR Rate Card'!$A$4:$A$8,0)))</f>
        <v/>
      </c>
      <c r="G179" s="14">
        <f>IF('Settlement Data'!A179="","",E179+F179)</f>
        <v/>
      </c>
      <c r="H179" s="12">
        <f>IF('Settlement Data'!A179="","",'Settlement Data'!E179)</f>
        <v/>
      </c>
      <c r="I179" s="12">
        <f>IF('Settlement Data'!A179="","",'Settlement Data'!F179)</f>
        <v/>
      </c>
      <c r="J179" s="14">
        <f>IF('Settlement Data'!A179="","",H179+I179)</f>
        <v/>
      </c>
      <c r="K179" s="14">
        <f>IF('Settlement Data'!A179="","",J179-G179)</f>
        <v/>
      </c>
      <c r="L179" s="6">
        <f>IF('Settlement Data'!A179="","",IF(K179&gt;0.5,"OVERCHARGED",IF(K179&lt;-0.5,"UNDERBILLED","MATCH")))</f>
        <v/>
      </c>
    </row>
    <row r="180">
      <c r="A180" s="11">
        <f>IF('Settlement Data'!A180="","",'Settlement Data'!A180)</f>
        <v/>
      </c>
      <c r="B180" s="11">
        <f>IF('Settlement Data'!A180="","",'Settlement Data'!C180)</f>
        <v/>
      </c>
      <c r="C180" s="12">
        <f>IF('Settlement Data'!A180="","",'Settlement Data'!D180)</f>
        <v/>
      </c>
      <c r="D180" s="13">
        <f>IF('Settlement Data'!A180="","",INDEX('TDR Rate Card'!$B$4:$B$8,MATCH(B180,'TDR Rate Card'!$A$4:$A$8,0)))</f>
        <v/>
      </c>
      <c r="E180" s="14">
        <f>IF('Settlement Data'!A180="","",C180*D180)</f>
        <v/>
      </c>
      <c r="F180" s="12">
        <f>IF('Settlement Data'!A180="","",E180*INDEX('TDR Rate Card'!$C$4:$C$8,MATCH(B180,'TDR Rate Card'!$A$4:$A$8,0)))</f>
        <v/>
      </c>
      <c r="G180" s="14">
        <f>IF('Settlement Data'!A180="","",E180+F180)</f>
        <v/>
      </c>
      <c r="H180" s="12">
        <f>IF('Settlement Data'!A180="","",'Settlement Data'!E180)</f>
        <v/>
      </c>
      <c r="I180" s="12">
        <f>IF('Settlement Data'!A180="","",'Settlement Data'!F180)</f>
        <v/>
      </c>
      <c r="J180" s="14">
        <f>IF('Settlement Data'!A180="","",H180+I180)</f>
        <v/>
      </c>
      <c r="K180" s="14">
        <f>IF('Settlement Data'!A180="","",J180-G180)</f>
        <v/>
      </c>
      <c r="L180" s="6">
        <f>IF('Settlement Data'!A180="","",IF(K180&gt;0.5,"OVERCHARGED",IF(K180&lt;-0.5,"UNDERBILLED","MATCH")))</f>
        <v/>
      </c>
    </row>
    <row r="181">
      <c r="A181" s="11">
        <f>IF('Settlement Data'!A181="","",'Settlement Data'!A181)</f>
        <v/>
      </c>
      <c r="B181" s="11">
        <f>IF('Settlement Data'!A181="","",'Settlement Data'!C181)</f>
        <v/>
      </c>
      <c r="C181" s="12">
        <f>IF('Settlement Data'!A181="","",'Settlement Data'!D181)</f>
        <v/>
      </c>
      <c r="D181" s="13">
        <f>IF('Settlement Data'!A181="","",INDEX('TDR Rate Card'!$B$4:$B$8,MATCH(B181,'TDR Rate Card'!$A$4:$A$8,0)))</f>
        <v/>
      </c>
      <c r="E181" s="14">
        <f>IF('Settlement Data'!A181="","",C181*D181)</f>
        <v/>
      </c>
      <c r="F181" s="12">
        <f>IF('Settlement Data'!A181="","",E181*INDEX('TDR Rate Card'!$C$4:$C$8,MATCH(B181,'TDR Rate Card'!$A$4:$A$8,0)))</f>
        <v/>
      </c>
      <c r="G181" s="14">
        <f>IF('Settlement Data'!A181="","",E181+F181)</f>
        <v/>
      </c>
      <c r="H181" s="12">
        <f>IF('Settlement Data'!A181="","",'Settlement Data'!E181)</f>
        <v/>
      </c>
      <c r="I181" s="12">
        <f>IF('Settlement Data'!A181="","",'Settlement Data'!F181)</f>
        <v/>
      </c>
      <c r="J181" s="14">
        <f>IF('Settlement Data'!A181="","",H181+I181)</f>
        <v/>
      </c>
      <c r="K181" s="14">
        <f>IF('Settlement Data'!A181="","",J181-G181)</f>
        <v/>
      </c>
      <c r="L181" s="6">
        <f>IF('Settlement Data'!A181="","",IF(K181&gt;0.5,"OVERCHARGED",IF(K181&lt;-0.5,"UNDERBILLED","MATCH")))</f>
        <v/>
      </c>
    </row>
    <row r="182">
      <c r="A182" s="11">
        <f>IF('Settlement Data'!A182="","",'Settlement Data'!A182)</f>
        <v/>
      </c>
      <c r="B182" s="11">
        <f>IF('Settlement Data'!A182="","",'Settlement Data'!C182)</f>
        <v/>
      </c>
      <c r="C182" s="12">
        <f>IF('Settlement Data'!A182="","",'Settlement Data'!D182)</f>
        <v/>
      </c>
      <c r="D182" s="13">
        <f>IF('Settlement Data'!A182="","",INDEX('TDR Rate Card'!$B$4:$B$8,MATCH(B182,'TDR Rate Card'!$A$4:$A$8,0)))</f>
        <v/>
      </c>
      <c r="E182" s="14">
        <f>IF('Settlement Data'!A182="","",C182*D182)</f>
        <v/>
      </c>
      <c r="F182" s="12">
        <f>IF('Settlement Data'!A182="","",E182*INDEX('TDR Rate Card'!$C$4:$C$8,MATCH(B182,'TDR Rate Card'!$A$4:$A$8,0)))</f>
        <v/>
      </c>
      <c r="G182" s="14">
        <f>IF('Settlement Data'!A182="","",E182+F182)</f>
        <v/>
      </c>
      <c r="H182" s="12">
        <f>IF('Settlement Data'!A182="","",'Settlement Data'!E182)</f>
        <v/>
      </c>
      <c r="I182" s="12">
        <f>IF('Settlement Data'!A182="","",'Settlement Data'!F182)</f>
        <v/>
      </c>
      <c r="J182" s="14">
        <f>IF('Settlement Data'!A182="","",H182+I182)</f>
        <v/>
      </c>
      <c r="K182" s="14">
        <f>IF('Settlement Data'!A182="","",J182-G182)</f>
        <v/>
      </c>
      <c r="L182" s="6">
        <f>IF('Settlement Data'!A182="","",IF(K182&gt;0.5,"OVERCHARGED",IF(K182&lt;-0.5,"UNDERBILLED","MATCH")))</f>
        <v/>
      </c>
    </row>
    <row r="183">
      <c r="A183" s="11">
        <f>IF('Settlement Data'!A183="","",'Settlement Data'!A183)</f>
        <v/>
      </c>
      <c r="B183" s="11">
        <f>IF('Settlement Data'!A183="","",'Settlement Data'!C183)</f>
        <v/>
      </c>
      <c r="C183" s="12">
        <f>IF('Settlement Data'!A183="","",'Settlement Data'!D183)</f>
        <v/>
      </c>
      <c r="D183" s="13">
        <f>IF('Settlement Data'!A183="","",INDEX('TDR Rate Card'!$B$4:$B$8,MATCH(B183,'TDR Rate Card'!$A$4:$A$8,0)))</f>
        <v/>
      </c>
      <c r="E183" s="14">
        <f>IF('Settlement Data'!A183="","",C183*D183)</f>
        <v/>
      </c>
      <c r="F183" s="12">
        <f>IF('Settlement Data'!A183="","",E183*INDEX('TDR Rate Card'!$C$4:$C$8,MATCH(B183,'TDR Rate Card'!$A$4:$A$8,0)))</f>
        <v/>
      </c>
      <c r="G183" s="14">
        <f>IF('Settlement Data'!A183="","",E183+F183)</f>
        <v/>
      </c>
      <c r="H183" s="12">
        <f>IF('Settlement Data'!A183="","",'Settlement Data'!E183)</f>
        <v/>
      </c>
      <c r="I183" s="12">
        <f>IF('Settlement Data'!A183="","",'Settlement Data'!F183)</f>
        <v/>
      </c>
      <c r="J183" s="14">
        <f>IF('Settlement Data'!A183="","",H183+I183)</f>
        <v/>
      </c>
      <c r="K183" s="14">
        <f>IF('Settlement Data'!A183="","",J183-G183)</f>
        <v/>
      </c>
      <c r="L183" s="6">
        <f>IF('Settlement Data'!A183="","",IF(K183&gt;0.5,"OVERCHARGED",IF(K183&lt;-0.5,"UNDERBILLED","MATCH")))</f>
        <v/>
      </c>
    </row>
    <row r="184">
      <c r="A184" s="11">
        <f>IF('Settlement Data'!A184="","",'Settlement Data'!A184)</f>
        <v/>
      </c>
      <c r="B184" s="11">
        <f>IF('Settlement Data'!A184="","",'Settlement Data'!C184)</f>
        <v/>
      </c>
      <c r="C184" s="12">
        <f>IF('Settlement Data'!A184="","",'Settlement Data'!D184)</f>
        <v/>
      </c>
      <c r="D184" s="13">
        <f>IF('Settlement Data'!A184="","",INDEX('TDR Rate Card'!$B$4:$B$8,MATCH(B184,'TDR Rate Card'!$A$4:$A$8,0)))</f>
        <v/>
      </c>
      <c r="E184" s="14">
        <f>IF('Settlement Data'!A184="","",C184*D184)</f>
        <v/>
      </c>
      <c r="F184" s="12">
        <f>IF('Settlement Data'!A184="","",E184*INDEX('TDR Rate Card'!$C$4:$C$8,MATCH(B184,'TDR Rate Card'!$A$4:$A$8,0)))</f>
        <v/>
      </c>
      <c r="G184" s="14">
        <f>IF('Settlement Data'!A184="","",E184+F184)</f>
        <v/>
      </c>
      <c r="H184" s="12">
        <f>IF('Settlement Data'!A184="","",'Settlement Data'!E184)</f>
        <v/>
      </c>
      <c r="I184" s="12">
        <f>IF('Settlement Data'!A184="","",'Settlement Data'!F184)</f>
        <v/>
      </c>
      <c r="J184" s="14">
        <f>IF('Settlement Data'!A184="","",H184+I184)</f>
        <v/>
      </c>
      <c r="K184" s="14">
        <f>IF('Settlement Data'!A184="","",J184-G184)</f>
        <v/>
      </c>
      <c r="L184" s="6">
        <f>IF('Settlement Data'!A184="","",IF(K184&gt;0.5,"OVERCHARGED",IF(K184&lt;-0.5,"UNDERBILLED","MATCH")))</f>
        <v/>
      </c>
    </row>
    <row r="185">
      <c r="A185" s="11">
        <f>IF('Settlement Data'!A185="","",'Settlement Data'!A185)</f>
        <v/>
      </c>
      <c r="B185" s="11">
        <f>IF('Settlement Data'!A185="","",'Settlement Data'!C185)</f>
        <v/>
      </c>
      <c r="C185" s="12">
        <f>IF('Settlement Data'!A185="","",'Settlement Data'!D185)</f>
        <v/>
      </c>
      <c r="D185" s="13">
        <f>IF('Settlement Data'!A185="","",INDEX('TDR Rate Card'!$B$4:$B$8,MATCH(B185,'TDR Rate Card'!$A$4:$A$8,0)))</f>
        <v/>
      </c>
      <c r="E185" s="14">
        <f>IF('Settlement Data'!A185="","",C185*D185)</f>
        <v/>
      </c>
      <c r="F185" s="12">
        <f>IF('Settlement Data'!A185="","",E185*INDEX('TDR Rate Card'!$C$4:$C$8,MATCH(B185,'TDR Rate Card'!$A$4:$A$8,0)))</f>
        <v/>
      </c>
      <c r="G185" s="14">
        <f>IF('Settlement Data'!A185="","",E185+F185)</f>
        <v/>
      </c>
      <c r="H185" s="12">
        <f>IF('Settlement Data'!A185="","",'Settlement Data'!E185)</f>
        <v/>
      </c>
      <c r="I185" s="12">
        <f>IF('Settlement Data'!A185="","",'Settlement Data'!F185)</f>
        <v/>
      </c>
      <c r="J185" s="14">
        <f>IF('Settlement Data'!A185="","",H185+I185)</f>
        <v/>
      </c>
      <c r="K185" s="14">
        <f>IF('Settlement Data'!A185="","",J185-G185)</f>
        <v/>
      </c>
      <c r="L185" s="6">
        <f>IF('Settlement Data'!A185="","",IF(K185&gt;0.5,"OVERCHARGED",IF(K185&lt;-0.5,"UNDERBILLED","MATCH")))</f>
        <v/>
      </c>
    </row>
    <row r="186">
      <c r="A186" s="11">
        <f>IF('Settlement Data'!A186="","",'Settlement Data'!A186)</f>
        <v/>
      </c>
      <c r="B186" s="11">
        <f>IF('Settlement Data'!A186="","",'Settlement Data'!C186)</f>
        <v/>
      </c>
      <c r="C186" s="12">
        <f>IF('Settlement Data'!A186="","",'Settlement Data'!D186)</f>
        <v/>
      </c>
      <c r="D186" s="13">
        <f>IF('Settlement Data'!A186="","",INDEX('TDR Rate Card'!$B$4:$B$8,MATCH(B186,'TDR Rate Card'!$A$4:$A$8,0)))</f>
        <v/>
      </c>
      <c r="E186" s="14">
        <f>IF('Settlement Data'!A186="","",C186*D186)</f>
        <v/>
      </c>
      <c r="F186" s="12">
        <f>IF('Settlement Data'!A186="","",E186*INDEX('TDR Rate Card'!$C$4:$C$8,MATCH(B186,'TDR Rate Card'!$A$4:$A$8,0)))</f>
        <v/>
      </c>
      <c r="G186" s="14">
        <f>IF('Settlement Data'!A186="","",E186+F186)</f>
        <v/>
      </c>
      <c r="H186" s="12">
        <f>IF('Settlement Data'!A186="","",'Settlement Data'!E186)</f>
        <v/>
      </c>
      <c r="I186" s="12">
        <f>IF('Settlement Data'!A186="","",'Settlement Data'!F186)</f>
        <v/>
      </c>
      <c r="J186" s="14">
        <f>IF('Settlement Data'!A186="","",H186+I186)</f>
        <v/>
      </c>
      <c r="K186" s="14">
        <f>IF('Settlement Data'!A186="","",J186-G186)</f>
        <v/>
      </c>
      <c r="L186" s="6">
        <f>IF('Settlement Data'!A186="","",IF(K186&gt;0.5,"OVERCHARGED",IF(K186&lt;-0.5,"UNDERBILLED","MATCH")))</f>
        <v/>
      </c>
    </row>
    <row r="187">
      <c r="A187" s="11">
        <f>IF('Settlement Data'!A187="","",'Settlement Data'!A187)</f>
        <v/>
      </c>
      <c r="B187" s="11">
        <f>IF('Settlement Data'!A187="","",'Settlement Data'!C187)</f>
        <v/>
      </c>
      <c r="C187" s="12">
        <f>IF('Settlement Data'!A187="","",'Settlement Data'!D187)</f>
        <v/>
      </c>
      <c r="D187" s="13">
        <f>IF('Settlement Data'!A187="","",INDEX('TDR Rate Card'!$B$4:$B$8,MATCH(B187,'TDR Rate Card'!$A$4:$A$8,0)))</f>
        <v/>
      </c>
      <c r="E187" s="14">
        <f>IF('Settlement Data'!A187="","",C187*D187)</f>
        <v/>
      </c>
      <c r="F187" s="12">
        <f>IF('Settlement Data'!A187="","",E187*INDEX('TDR Rate Card'!$C$4:$C$8,MATCH(B187,'TDR Rate Card'!$A$4:$A$8,0)))</f>
        <v/>
      </c>
      <c r="G187" s="14">
        <f>IF('Settlement Data'!A187="","",E187+F187)</f>
        <v/>
      </c>
      <c r="H187" s="12">
        <f>IF('Settlement Data'!A187="","",'Settlement Data'!E187)</f>
        <v/>
      </c>
      <c r="I187" s="12">
        <f>IF('Settlement Data'!A187="","",'Settlement Data'!F187)</f>
        <v/>
      </c>
      <c r="J187" s="14">
        <f>IF('Settlement Data'!A187="","",H187+I187)</f>
        <v/>
      </c>
      <c r="K187" s="14">
        <f>IF('Settlement Data'!A187="","",J187-G187)</f>
        <v/>
      </c>
      <c r="L187" s="6">
        <f>IF('Settlement Data'!A187="","",IF(K187&gt;0.5,"OVERCHARGED",IF(K187&lt;-0.5,"UNDERBILLED","MATCH")))</f>
        <v/>
      </c>
    </row>
    <row r="188">
      <c r="A188" s="11">
        <f>IF('Settlement Data'!A188="","",'Settlement Data'!A188)</f>
        <v/>
      </c>
      <c r="B188" s="11">
        <f>IF('Settlement Data'!A188="","",'Settlement Data'!C188)</f>
        <v/>
      </c>
      <c r="C188" s="12">
        <f>IF('Settlement Data'!A188="","",'Settlement Data'!D188)</f>
        <v/>
      </c>
      <c r="D188" s="13">
        <f>IF('Settlement Data'!A188="","",INDEX('TDR Rate Card'!$B$4:$B$8,MATCH(B188,'TDR Rate Card'!$A$4:$A$8,0)))</f>
        <v/>
      </c>
      <c r="E188" s="14">
        <f>IF('Settlement Data'!A188="","",C188*D188)</f>
        <v/>
      </c>
      <c r="F188" s="12">
        <f>IF('Settlement Data'!A188="","",E188*INDEX('TDR Rate Card'!$C$4:$C$8,MATCH(B188,'TDR Rate Card'!$A$4:$A$8,0)))</f>
        <v/>
      </c>
      <c r="G188" s="14">
        <f>IF('Settlement Data'!A188="","",E188+F188)</f>
        <v/>
      </c>
      <c r="H188" s="12">
        <f>IF('Settlement Data'!A188="","",'Settlement Data'!E188)</f>
        <v/>
      </c>
      <c r="I188" s="12">
        <f>IF('Settlement Data'!A188="","",'Settlement Data'!F188)</f>
        <v/>
      </c>
      <c r="J188" s="14">
        <f>IF('Settlement Data'!A188="","",H188+I188)</f>
        <v/>
      </c>
      <c r="K188" s="14">
        <f>IF('Settlement Data'!A188="","",J188-G188)</f>
        <v/>
      </c>
      <c r="L188" s="6">
        <f>IF('Settlement Data'!A188="","",IF(K188&gt;0.5,"OVERCHARGED",IF(K188&lt;-0.5,"UNDERBILLED","MATCH")))</f>
        <v/>
      </c>
    </row>
    <row r="189">
      <c r="A189" s="11">
        <f>IF('Settlement Data'!A189="","",'Settlement Data'!A189)</f>
        <v/>
      </c>
      <c r="B189" s="11">
        <f>IF('Settlement Data'!A189="","",'Settlement Data'!C189)</f>
        <v/>
      </c>
      <c r="C189" s="12">
        <f>IF('Settlement Data'!A189="","",'Settlement Data'!D189)</f>
        <v/>
      </c>
      <c r="D189" s="13">
        <f>IF('Settlement Data'!A189="","",INDEX('TDR Rate Card'!$B$4:$B$8,MATCH(B189,'TDR Rate Card'!$A$4:$A$8,0)))</f>
        <v/>
      </c>
      <c r="E189" s="14">
        <f>IF('Settlement Data'!A189="","",C189*D189)</f>
        <v/>
      </c>
      <c r="F189" s="12">
        <f>IF('Settlement Data'!A189="","",E189*INDEX('TDR Rate Card'!$C$4:$C$8,MATCH(B189,'TDR Rate Card'!$A$4:$A$8,0)))</f>
        <v/>
      </c>
      <c r="G189" s="14">
        <f>IF('Settlement Data'!A189="","",E189+F189)</f>
        <v/>
      </c>
      <c r="H189" s="12">
        <f>IF('Settlement Data'!A189="","",'Settlement Data'!E189)</f>
        <v/>
      </c>
      <c r="I189" s="12">
        <f>IF('Settlement Data'!A189="","",'Settlement Data'!F189)</f>
        <v/>
      </c>
      <c r="J189" s="14">
        <f>IF('Settlement Data'!A189="","",H189+I189)</f>
        <v/>
      </c>
      <c r="K189" s="14">
        <f>IF('Settlement Data'!A189="","",J189-G189)</f>
        <v/>
      </c>
      <c r="L189" s="6">
        <f>IF('Settlement Data'!A189="","",IF(K189&gt;0.5,"OVERCHARGED",IF(K189&lt;-0.5,"UNDERBILLED","MATCH")))</f>
        <v/>
      </c>
    </row>
    <row r="190">
      <c r="A190" s="11">
        <f>IF('Settlement Data'!A190="","",'Settlement Data'!A190)</f>
        <v/>
      </c>
      <c r="B190" s="11">
        <f>IF('Settlement Data'!A190="","",'Settlement Data'!C190)</f>
        <v/>
      </c>
      <c r="C190" s="12">
        <f>IF('Settlement Data'!A190="","",'Settlement Data'!D190)</f>
        <v/>
      </c>
      <c r="D190" s="13">
        <f>IF('Settlement Data'!A190="","",INDEX('TDR Rate Card'!$B$4:$B$8,MATCH(B190,'TDR Rate Card'!$A$4:$A$8,0)))</f>
        <v/>
      </c>
      <c r="E190" s="14">
        <f>IF('Settlement Data'!A190="","",C190*D190)</f>
        <v/>
      </c>
      <c r="F190" s="12">
        <f>IF('Settlement Data'!A190="","",E190*INDEX('TDR Rate Card'!$C$4:$C$8,MATCH(B190,'TDR Rate Card'!$A$4:$A$8,0)))</f>
        <v/>
      </c>
      <c r="G190" s="14">
        <f>IF('Settlement Data'!A190="","",E190+F190)</f>
        <v/>
      </c>
      <c r="H190" s="12">
        <f>IF('Settlement Data'!A190="","",'Settlement Data'!E190)</f>
        <v/>
      </c>
      <c r="I190" s="12">
        <f>IF('Settlement Data'!A190="","",'Settlement Data'!F190)</f>
        <v/>
      </c>
      <c r="J190" s="14">
        <f>IF('Settlement Data'!A190="","",H190+I190)</f>
        <v/>
      </c>
      <c r="K190" s="14">
        <f>IF('Settlement Data'!A190="","",J190-G190)</f>
        <v/>
      </c>
      <c r="L190" s="6">
        <f>IF('Settlement Data'!A190="","",IF(K190&gt;0.5,"OVERCHARGED",IF(K190&lt;-0.5,"UNDERBILLED","MATCH")))</f>
        <v/>
      </c>
    </row>
    <row r="191">
      <c r="A191" s="11">
        <f>IF('Settlement Data'!A191="","",'Settlement Data'!A191)</f>
        <v/>
      </c>
      <c r="B191" s="11">
        <f>IF('Settlement Data'!A191="","",'Settlement Data'!C191)</f>
        <v/>
      </c>
      <c r="C191" s="12">
        <f>IF('Settlement Data'!A191="","",'Settlement Data'!D191)</f>
        <v/>
      </c>
      <c r="D191" s="13">
        <f>IF('Settlement Data'!A191="","",INDEX('TDR Rate Card'!$B$4:$B$8,MATCH(B191,'TDR Rate Card'!$A$4:$A$8,0)))</f>
        <v/>
      </c>
      <c r="E191" s="14">
        <f>IF('Settlement Data'!A191="","",C191*D191)</f>
        <v/>
      </c>
      <c r="F191" s="12">
        <f>IF('Settlement Data'!A191="","",E191*INDEX('TDR Rate Card'!$C$4:$C$8,MATCH(B191,'TDR Rate Card'!$A$4:$A$8,0)))</f>
        <v/>
      </c>
      <c r="G191" s="14">
        <f>IF('Settlement Data'!A191="","",E191+F191)</f>
        <v/>
      </c>
      <c r="H191" s="12">
        <f>IF('Settlement Data'!A191="","",'Settlement Data'!E191)</f>
        <v/>
      </c>
      <c r="I191" s="12">
        <f>IF('Settlement Data'!A191="","",'Settlement Data'!F191)</f>
        <v/>
      </c>
      <c r="J191" s="14">
        <f>IF('Settlement Data'!A191="","",H191+I191)</f>
        <v/>
      </c>
      <c r="K191" s="14">
        <f>IF('Settlement Data'!A191="","",J191-G191)</f>
        <v/>
      </c>
      <c r="L191" s="6">
        <f>IF('Settlement Data'!A191="","",IF(K191&gt;0.5,"OVERCHARGED",IF(K191&lt;-0.5,"UNDERBILLED","MATCH")))</f>
        <v/>
      </c>
    </row>
    <row r="192">
      <c r="A192" s="11">
        <f>IF('Settlement Data'!A192="","",'Settlement Data'!A192)</f>
        <v/>
      </c>
      <c r="B192" s="11">
        <f>IF('Settlement Data'!A192="","",'Settlement Data'!C192)</f>
        <v/>
      </c>
      <c r="C192" s="12">
        <f>IF('Settlement Data'!A192="","",'Settlement Data'!D192)</f>
        <v/>
      </c>
      <c r="D192" s="13">
        <f>IF('Settlement Data'!A192="","",INDEX('TDR Rate Card'!$B$4:$B$8,MATCH(B192,'TDR Rate Card'!$A$4:$A$8,0)))</f>
        <v/>
      </c>
      <c r="E192" s="14">
        <f>IF('Settlement Data'!A192="","",C192*D192)</f>
        <v/>
      </c>
      <c r="F192" s="12">
        <f>IF('Settlement Data'!A192="","",E192*INDEX('TDR Rate Card'!$C$4:$C$8,MATCH(B192,'TDR Rate Card'!$A$4:$A$8,0)))</f>
        <v/>
      </c>
      <c r="G192" s="14">
        <f>IF('Settlement Data'!A192="","",E192+F192)</f>
        <v/>
      </c>
      <c r="H192" s="12">
        <f>IF('Settlement Data'!A192="","",'Settlement Data'!E192)</f>
        <v/>
      </c>
      <c r="I192" s="12">
        <f>IF('Settlement Data'!A192="","",'Settlement Data'!F192)</f>
        <v/>
      </c>
      <c r="J192" s="14">
        <f>IF('Settlement Data'!A192="","",H192+I192)</f>
        <v/>
      </c>
      <c r="K192" s="14">
        <f>IF('Settlement Data'!A192="","",J192-G192)</f>
        <v/>
      </c>
      <c r="L192" s="6">
        <f>IF('Settlement Data'!A192="","",IF(K192&gt;0.5,"OVERCHARGED",IF(K192&lt;-0.5,"UNDERBILLED","MATCH")))</f>
        <v/>
      </c>
    </row>
    <row r="193">
      <c r="A193" s="11">
        <f>IF('Settlement Data'!A193="","",'Settlement Data'!A193)</f>
        <v/>
      </c>
      <c r="B193" s="11">
        <f>IF('Settlement Data'!A193="","",'Settlement Data'!C193)</f>
        <v/>
      </c>
      <c r="C193" s="12">
        <f>IF('Settlement Data'!A193="","",'Settlement Data'!D193)</f>
        <v/>
      </c>
      <c r="D193" s="13">
        <f>IF('Settlement Data'!A193="","",INDEX('TDR Rate Card'!$B$4:$B$8,MATCH(B193,'TDR Rate Card'!$A$4:$A$8,0)))</f>
        <v/>
      </c>
      <c r="E193" s="14">
        <f>IF('Settlement Data'!A193="","",C193*D193)</f>
        <v/>
      </c>
      <c r="F193" s="12">
        <f>IF('Settlement Data'!A193="","",E193*INDEX('TDR Rate Card'!$C$4:$C$8,MATCH(B193,'TDR Rate Card'!$A$4:$A$8,0)))</f>
        <v/>
      </c>
      <c r="G193" s="14">
        <f>IF('Settlement Data'!A193="","",E193+F193)</f>
        <v/>
      </c>
      <c r="H193" s="12">
        <f>IF('Settlement Data'!A193="","",'Settlement Data'!E193)</f>
        <v/>
      </c>
      <c r="I193" s="12">
        <f>IF('Settlement Data'!A193="","",'Settlement Data'!F193)</f>
        <v/>
      </c>
      <c r="J193" s="14">
        <f>IF('Settlement Data'!A193="","",H193+I193)</f>
        <v/>
      </c>
      <c r="K193" s="14">
        <f>IF('Settlement Data'!A193="","",J193-G193)</f>
        <v/>
      </c>
      <c r="L193" s="6">
        <f>IF('Settlement Data'!A193="","",IF(K193&gt;0.5,"OVERCHARGED",IF(K193&lt;-0.5,"UNDERBILLED","MATCH")))</f>
        <v/>
      </c>
    </row>
    <row r="194">
      <c r="A194" s="11">
        <f>IF('Settlement Data'!A194="","",'Settlement Data'!A194)</f>
        <v/>
      </c>
      <c r="B194" s="11">
        <f>IF('Settlement Data'!A194="","",'Settlement Data'!C194)</f>
        <v/>
      </c>
      <c r="C194" s="12">
        <f>IF('Settlement Data'!A194="","",'Settlement Data'!D194)</f>
        <v/>
      </c>
      <c r="D194" s="13">
        <f>IF('Settlement Data'!A194="","",INDEX('TDR Rate Card'!$B$4:$B$8,MATCH(B194,'TDR Rate Card'!$A$4:$A$8,0)))</f>
        <v/>
      </c>
      <c r="E194" s="14">
        <f>IF('Settlement Data'!A194="","",C194*D194)</f>
        <v/>
      </c>
      <c r="F194" s="12">
        <f>IF('Settlement Data'!A194="","",E194*INDEX('TDR Rate Card'!$C$4:$C$8,MATCH(B194,'TDR Rate Card'!$A$4:$A$8,0)))</f>
        <v/>
      </c>
      <c r="G194" s="14">
        <f>IF('Settlement Data'!A194="","",E194+F194)</f>
        <v/>
      </c>
      <c r="H194" s="12">
        <f>IF('Settlement Data'!A194="","",'Settlement Data'!E194)</f>
        <v/>
      </c>
      <c r="I194" s="12">
        <f>IF('Settlement Data'!A194="","",'Settlement Data'!F194)</f>
        <v/>
      </c>
      <c r="J194" s="14">
        <f>IF('Settlement Data'!A194="","",H194+I194)</f>
        <v/>
      </c>
      <c r="K194" s="14">
        <f>IF('Settlement Data'!A194="","",J194-G194)</f>
        <v/>
      </c>
      <c r="L194" s="6">
        <f>IF('Settlement Data'!A194="","",IF(K194&gt;0.5,"OVERCHARGED",IF(K194&lt;-0.5,"UNDERBILLED","MATCH")))</f>
        <v/>
      </c>
    </row>
    <row r="195">
      <c r="A195" s="11">
        <f>IF('Settlement Data'!A195="","",'Settlement Data'!A195)</f>
        <v/>
      </c>
      <c r="B195" s="11">
        <f>IF('Settlement Data'!A195="","",'Settlement Data'!C195)</f>
        <v/>
      </c>
      <c r="C195" s="12">
        <f>IF('Settlement Data'!A195="","",'Settlement Data'!D195)</f>
        <v/>
      </c>
      <c r="D195" s="13">
        <f>IF('Settlement Data'!A195="","",INDEX('TDR Rate Card'!$B$4:$B$8,MATCH(B195,'TDR Rate Card'!$A$4:$A$8,0)))</f>
        <v/>
      </c>
      <c r="E195" s="14">
        <f>IF('Settlement Data'!A195="","",C195*D195)</f>
        <v/>
      </c>
      <c r="F195" s="12">
        <f>IF('Settlement Data'!A195="","",E195*INDEX('TDR Rate Card'!$C$4:$C$8,MATCH(B195,'TDR Rate Card'!$A$4:$A$8,0)))</f>
        <v/>
      </c>
      <c r="G195" s="14">
        <f>IF('Settlement Data'!A195="","",E195+F195)</f>
        <v/>
      </c>
      <c r="H195" s="12">
        <f>IF('Settlement Data'!A195="","",'Settlement Data'!E195)</f>
        <v/>
      </c>
      <c r="I195" s="12">
        <f>IF('Settlement Data'!A195="","",'Settlement Data'!F195)</f>
        <v/>
      </c>
      <c r="J195" s="14">
        <f>IF('Settlement Data'!A195="","",H195+I195)</f>
        <v/>
      </c>
      <c r="K195" s="14">
        <f>IF('Settlement Data'!A195="","",J195-G195)</f>
        <v/>
      </c>
      <c r="L195" s="6">
        <f>IF('Settlement Data'!A195="","",IF(K195&gt;0.5,"OVERCHARGED",IF(K195&lt;-0.5,"UNDERBILLED","MATCH")))</f>
        <v/>
      </c>
    </row>
    <row r="196">
      <c r="A196" s="11">
        <f>IF('Settlement Data'!A196="","",'Settlement Data'!A196)</f>
        <v/>
      </c>
      <c r="B196" s="11">
        <f>IF('Settlement Data'!A196="","",'Settlement Data'!C196)</f>
        <v/>
      </c>
      <c r="C196" s="12">
        <f>IF('Settlement Data'!A196="","",'Settlement Data'!D196)</f>
        <v/>
      </c>
      <c r="D196" s="13">
        <f>IF('Settlement Data'!A196="","",INDEX('TDR Rate Card'!$B$4:$B$8,MATCH(B196,'TDR Rate Card'!$A$4:$A$8,0)))</f>
        <v/>
      </c>
      <c r="E196" s="14">
        <f>IF('Settlement Data'!A196="","",C196*D196)</f>
        <v/>
      </c>
      <c r="F196" s="12">
        <f>IF('Settlement Data'!A196="","",E196*INDEX('TDR Rate Card'!$C$4:$C$8,MATCH(B196,'TDR Rate Card'!$A$4:$A$8,0)))</f>
        <v/>
      </c>
      <c r="G196" s="14">
        <f>IF('Settlement Data'!A196="","",E196+F196)</f>
        <v/>
      </c>
      <c r="H196" s="12">
        <f>IF('Settlement Data'!A196="","",'Settlement Data'!E196)</f>
        <v/>
      </c>
      <c r="I196" s="12">
        <f>IF('Settlement Data'!A196="","",'Settlement Data'!F196)</f>
        <v/>
      </c>
      <c r="J196" s="14">
        <f>IF('Settlement Data'!A196="","",H196+I196)</f>
        <v/>
      </c>
      <c r="K196" s="14">
        <f>IF('Settlement Data'!A196="","",J196-G196)</f>
        <v/>
      </c>
      <c r="L196" s="6">
        <f>IF('Settlement Data'!A196="","",IF(K196&gt;0.5,"OVERCHARGED",IF(K196&lt;-0.5,"UNDERBILLED","MATCH")))</f>
        <v/>
      </c>
    </row>
    <row r="197">
      <c r="A197" s="11">
        <f>IF('Settlement Data'!A197="","",'Settlement Data'!A197)</f>
        <v/>
      </c>
      <c r="B197" s="11">
        <f>IF('Settlement Data'!A197="","",'Settlement Data'!C197)</f>
        <v/>
      </c>
      <c r="C197" s="12">
        <f>IF('Settlement Data'!A197="","",'Settlement Data'!D197)</f>
        <v/>
      </c>
      <c r="D197" s="13">
        <f>IF('Settlement Data'!A197="","",INDEX('TDR Rate Card'!$B$4:$B$8,MATCH(B197,'TDR Rate Card'!$A$4:$A$8,0)))</f>
        <v/>
      </c>
      <c r="E197" s="14">
        <f>IF('Settlement Data'!A197="","",C197*D197)</f>
        <v/>
      </c>
      <c r="F197" s="12">
        <f>IF('Settlement Data'!A197="","",E197*INDEX('TDR Rate Card'!$C$4:$C$8,MATCH(B197,'TDR Rate Card'!$A$4:$A$8,0)))</f>
        <v/>
      </c>
      <c r="G197" s="14">
        <f>IF('Settlement Data'!A197="","",E197+F197)</f>
        <v/>
      </c>
      <c r="H197" s="12">
        <f>IF('Settlement Data'!A197="","",'Settlement Data'!E197)</f>
        <v/>
      </c>
      <c r="I197" s="12">
        <f>IF('Settlement Data'!A197="","",'Settlement Data'!F197)</f>
        <v/>
      </c>
      <c r="J197" s="14">
        <f>IF('Settlement Data'!A197="","",H197+I197)</f>
        <v/>
      </c>
      <c r="K197" s="14">
        <f>IF('Settlement Data'!A197="","",J197-G197)</f>
        <v/>
      </c>
      <c r="L197" s="6">
        <f>IF('Settlement Data'!A197="","",IF(K197&gt;0.5,"OVERCHARGED",IF(K197&lt;-0.5,"UNDERBILLED","MATCH")))</f>
        <v/>
      </c>
    </row>
    <row r="198">
      <c r="A198" s="11">
        <f>IF('Settlement Data'!A198="","",'Settlement Data'!A198)</f>
        <v/>
      </c>
      <c r="B198" s="11">
        <f>IF('Settlement Data'!A198="","",'Settlement Data'!C198)</f>
        <v/>
      </c>
      <c r="C198" s="12">
        <f>IF('Settlement Data'!A198="","",'Settlement Data'!D198)</f>
        <v/>
      </c>
      <c r="D198" s="13">
        <f>IF('Settlement Data'!A198="","",INDEX('TDR Rate Card'!$B$4:$B$8,MATCH(B198,'TDR Rate Card'!$A$4:$A$8,0)))</f>
        <v/>
      </c>
      <c r="E198" s="14">
        <f>IF('Settlement Data'!A198="","",C198*D198)</f>
        <v/>
      </c>
      <c r="F198" s="12">
        <f>IF('Settlement Data'!A198="","",E198*INDEX('TDR Rate Card'!$C$4:$C$8,MATCH(B198,'TDR Rate Card'!$A$4:$A$8,0)))</f>
        <v/>
      </c>
      <c r="G198" s="14">
        <f>IF('Settlement Data'!A198="","",E198+F198)</f>
        <v/>
      </c>
      <c r="H198" s="12">
        <f>IF('Settlement Data'!A198="","",'Settlement Data'!E198)</f>
        <v/>
      </c>
      <c r="I198" s="12">
        <f>IF('Settlement Data'!A198="","",'Settlement Data'!F198)</f>
        <v/>
      </c>
      <c r="J198" s="14">
        <f>IF('Settlement Data'!A198="","",H198+I198)</f>
        <v/>
      </c>
      <c r="K198" s="14">
        <f>IF('Settlement Data'!A198="","",J198-G198)</f>
        <v/>
      </c>
      <c r="L198" s="6">
        <f>IF('Settlement Data'!A198="","",IF(K198&gt;0.5,"OVERCHARGED",IF(K198&lt;-0.5,"UNDERBILLED","MATCH")))</f>
        <v/>
      </c>
    </row>
    <row r="199">
      <c r="A199" s="11">
        <f>IF('Settlement Data'!A199="","",'Settlement Data'!A199)</f>
        <v/>
      </c>
      <c r="B199" s="11">
        <f>IF('Settlement Data'!A199="","",'Settlement Data'!C199)</f>
        <v/>
      </c>
      <c r="C199" s="12">
        <f>IF('Settlement Data'!A199="","",'Settlement Data'!D199)</f>
        <v/>
      </c>
      <c r="D199" s="13">
        <f>IF('Settlement Data'!A199="","",INDEX('TDR Rate Card'!$B$4:$B$8,MATCH(B199,'TDR Rate Card'!$A$4:$A$8,0)))</f>
        <v/>
      </c>
      <c r="E199" s="14">
        <f>IF('Settlement Data'!A199="","",C199*D199)</f>
        <v/>
      </c>
      <c r="F199" s="12">
        <f>IF('Settlement Data'!A199="","",E199*INDEX('TDR Rate Card'!$C$4:$C$8,MATCH(B199,'TDR Rate Card'!$A$4:$A$8,0)))</f>
        <v/>
      </c>
      <c r="G199" s="14">
        <f>IF('Settlement Data'!A199="","",E199+F199)</f>
        <v/>
      </c>
      <c r="H199" s="12">
        <f>IF('Settlement Data'!A199="","",'Settlement Data'!E199)</f>
        <v/>
      </c>
      <c r="I199" s="12">
        <f>IF('Settlement Data'!A199="","",'Settlement Data'!F199)</f>
        <v/>
      </c>
      <c r="J199" s="14">
        <f>IF('Settlement Data'!A199="","",H199+I199)</f>
        <v/>
      </c>
      <c r="K199" s="14">
        <f>IF('Settlement Data'!A199="","",J199-G199)</f>
        <v/>
      </c>
      <c r="L199" s="6">
        <f>IF('Settlement Data'!A199="","",IF(K199&gt;0.5,"OVERCHARGED",IF(K199&lt;-0.5,"UNDERBILLED","MATCH")))</f>
        <v/>
      </c>
    </row>
    <row r="200">
      <c r="A200" s="11">
        <f>IF('Settlement Data'!A200="","",'Settlement Data'!A200)</f>
        <v/>
      </c>
      <c r="B200" s="11">
        <f>IF('Settlement Data'!A200="","",'Settlement Data'!C200)</f>
        <v/>
      </c>
      <c r="C200" s="12">
        <f>IF('Settlement Data'!A200="","",'Settlement Data'!D200)</f>
        <v/>
      </c>
      <c r="D200" s="13">
        <f>IF('Settlement Data'!A200="","",INDEX('TDR Rate Card'!$B$4:$B$8,MATCH(B200,'TDR Rate Card'!$A$4:$A$8,0)))</f>
        <v/>
      </c>
      <c r="E200" s="14">
        <f>IF('Settlement Data'!A200="","",C200*D200)</f>
        <v/>
      </c>
      <c r="F200" s="12">
        <f>IF('Settlement Data'!A200="","",E200*INDEX('TDR Rate Card'!$C$4:$C$8,MATCH(B200,'TDR Rate Card'!$A$4:$A$8,0)))</f>
        <v/>
      </c>
      <c r="G200" s="14">
        <f>IF('Settlement Data'!A200="","",E200+F200)</f>
        <v/>
      </c>
      <c r="H200" s="12">
        <f>IF('Settlement Data'!A200="","",'Settlement Data'!E200)</f>
        <v/>
      </c>
      <c r="I200" s="12">
        <f>IF('Settlement Data'!A200="","",'Settlement Data'!F200)</f>
        <v/>
      </c>
      <c r="J200" s="14">
        <f>IF('Settlement Data'!A200="","",H200+I200)</f>
        <v/>
      </c>
      <c r="K200" s="14">
        <f>IF('Settlement Data'!A200="","",J200-G200)</f>
        <v/>
      </c>
      <c r="L200" s="6">
        <f>IF('Settlement Data'!A200="","",IF(K200&gt;0.5,"OVERCHARGED",IF(K200&lt;-0.5,"UNDERBILLED","MATCH")))</f>
        <v/>
      </c>
    </row>
    <row r="201">
      <c r="A201" s="11">
        <f>IF('Settlement Data'!A201="","",'Settlement Data'!A201)</f>
        <v/>
      </c>
      <c r="B201" s="11">
        <f>IF('Settlement Data'!A201="","",'Settlement Data'!C201)</f>
        <v/>
      </c>
      <c r="C201" s="12">
        <f>IF('Settlement Data'!A201="","",'Settlement Data'!D201)</f>
        <v/>
      </c>
      <c r="D201" s="13">
        <f>IF('Settlement Data'!A201="","",INDEX('TDR Rate Card'!$B$4:$B$8,MATCH(B201,'TDR Rate Card'!$A$4:$A$8,0)))</f>
        <v/>
      </c>
      <c r="E201" s="14">
        <f>IF('Settlement Data'!A201="","",C201*D201)</f>
        <v/>
      </c>
      <c r="F201" s="12">
        <f>IF('Settlement Data'!A201="","",E201*INDEX('TDR Rate Card'!$C$4:$C$8,MATCH(B201,'TDR Rate Card'!$A$4:$A$8,0)))</f>
        <v/>
      </c>
      <c r="G201" s="14">
        <f>IF('Settlement Data'!A201="","",E201+F201)</f>
        <v/>
      </c>
      <c r="H201" s="12">
        <f>IF('Settlement Data'!A201="","",'Settlement Data'!E201)</f>
        <v/>
      </c>
      <c r="I201" s="12">
        <f>IF('Settlement Data'!A201="","",'Settlement Data'!F201)</f>
        <v/>
      </c>
      <c r="J201" s="14">
        <f>IF('Settlement Data'!A201="","",H201+I201)</f>
        <v/>
      </c>
      <c r="K201" s="14">
        <f>IF('Settlement Data'!A201="","",J201-G201)</f>
        <v/>
      </c>
      <c r="L201" s="6">
        <f>IF('Settlement Data'!A201="","",IF(K201&gt;0.5,"OVERCHARGED",IF(K201&lt;-0.5,"UNDERBILLED","MATCH")))</f>
        <v/>
      </c>
    </row>
  </sheetData>
  <conditionalFormatting sqref="L2:L201">
    <cfRule type="cellIs" priority="1" operator="equal" dxfId="0">
      <formula>"OVERCHARGED"</formula>
    </cfRule>
    <cfRule type="cellIs" priority="2" operator="equal" dxfId="1">
      <formula>"UNDERBILLED"</formula>
    </cfRule>
    <cfRule type="cellIs" priority="3" operator="equal" dxfId="2">
      <formula>"MATCH"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4" customWidth="1" min="3" max="3"/>
    <col width="22" customWidth="1" min="4" max="4"/>
    <col width="20" customWidth="1" min="5" max="5"/>
    <col width="20" customWidth="1" min="6" max="6"/>
  </cols>
  <sheetData>
    <row r="2">
      <c r="B2" s="1" t="inlineStr">
        <is>
          <t>Settlement Audit Summary</t>
        </is>
      </c>
    </row>
    <row r="4">
      <c r="B4" s="2" t="inlineStr">
        <is>
          <t>Total Transactions Audited</t>
        </is>
      </c>
      <c r="D4" s="15">
        <f>SUMPRODUCT(--(Audit!A2:A201&lt;&gt;""))</f>
        <v/>
      </c>
    </row>
    <row r="5">
      <c r="B5" s="2" t="inlineStr">
        <is>
          <t>Total Transaction Value (Rs)</t>
        </is>
      </c>
      <c r="D5" s="16">
        <f>SUM(Audit!C2:C201)</f>
        <v/>
      </c>
    </row>
    <row r="6">
      <c r="B6" s="2" t="inlineStr">
        <is>
          <t>Total Actual Deduction (Rs)</t>
        </is>
      </c>
      <c r="D6" s="16">
        <f>SUM(Audit!J2:J201)</f>
        <v/>
      </c>
    </row>
    <row r="7">
      <c r="B7" s="2" t="inlineStr">
        <is>
          <t>Total Expected Deduction (Rs)</t>
        </is>
      </c>
      <c r="D7" s="16">
        <f>SUM(Audit!G2:G201)</f>
        <v/>
      </c>
    </row>
    <row r="8">
      <c r="B8" s="2" t="inlineStr">
        <is>
          <t>Net Variance (Rs)</t>
        </is>
      </c>
      <c r="D8" s="16">
        <f>SUM(Audit!K2:K201)</f>
        <v/>
      </c>
    </row>
    <row r="9">
      <c r="B9" s="2" t="inlineStr">
        <is>
          <t>Transactions Overcharged</t>
        </is>
      </c>
      <c r="D9" s="15">
        <f>COUNTIF(Audit!L2:L201,"OVERCHARGED")</f>
        <v/>
      </c>
    </row>
    <row r="10">
      <c r="B10" s="2" t="inlineStr">
        <is>
          <t>Total Overcharge - Refund Claimable (Rs)</t>
        </is>
      </c>
      <c r="D10" s="16">
        <f>SUMIF(Audit!L2:L201,"OVERCHARGED",Audit!K2:K201)</f>
        <v/>
      </c>
    </row>
    <row r="11">
      <c r="B11" s="2" t="inlineStr">
        <is>
          <t>Transactions Underbilled (gateway's loss, FYI)</t>
        </is>
      </c>
      <c r="D11" s="15">
        <f>COUNTIF(Audit!L2:L201,"UNDERBILLED")</f>
        <v/>
      </c>
    </row>
    <row r="13">
      <c r="B13" s="2" t="inlineStr">
        <is>
          <t>Payment-Method Breakdown</t>
        </is>
      </c>
    </row>
    <row r="15">
      <c r="B15" s="5" t="inlineStr">
        <is>
          <t>Payment Method</t>
        </is>
      </c>
      <c r="C15" s="5" t="inlineStr">
        <is>
          <t>Transactions</t>
        </is>
      </c>
      <c r="D15" s="5" t="inlineStr">
        <is>
          <t>Total Deducted (Rs)</t>
        </is>
      </c>
      <c r="E15" s="5" t="inlineStr">
        <is>
          <t>Total Expected (Rs)</t>
        </is>
      </c>
      <c r="F15" s="5" t="inlineStr">
        <is>
          <t>Overcharge Amount (Rs)</t>
        </is>
      </c>
    </row>
    <row r="16">
      <c r="B16" s="6" t="inlineStr">
        <is>
          <t>UPI</t>
        </is>
      </c>
      <c r="C16" s="6">
        <f>COUNTIF(Audit!$B$2:$B$201,B16)</f>
        <v/>
      </c>
      <c r="D16" s="14">
        <f>SUMIF(Audit!$B$2:$B$201,B16,Audit!$J$2:$J$201)</f>
        <v/>
      </c>
      <c r="E16" s="14">
        <f>SUMIF(Audit!$B$2:$B$201,B16,Audit!$G$2:$G$201)</f>
        <v/>
      </c>
      <c r="F16" s="14">
        <f>SUMIFS(Audit!$K$2:$K$201,Audit!$B$2:$B$201,B16,Audit!$L$2:$L$201,"OVERCHARGED")</f>
        <v/>
      </c>
    </row>
    <row r="17">
      <c r="B17" s="6" t="inlineStr">
        <is>
          <t>Debit Card</t>
        </is>
      </c>
      <c r="C17" s="6">
        <f>COUNTIF(Audit!$B$2:$B$201,B17)</f>
        <v/>
      </c>
      <c r="D17" s="14">
        <f>SUMIF(Audit!$B$2:$B$201,B17,Audit!$J$2:$J$201)</f>
        <v/>
      </c>
      <c r="E17" s="14">
        <f>SUMIF(Audit!$B$2:$B$201,B17,Audit!$G$2:$G$201)</f>
        <v/>
      </c>
      <c r="F17" s="14">
        <f>SUMIFS(Audit!$K$2:$K$201,Audit!$B$2:$B$201,B17,Audit!$L$2:$L$201,"OVERCHARGED")</f>
        <v/>
      </c>
    </row>
    <row r="18">
      <c r="B18" s="6" t="inlineStr">
        <is>
          <t>Credit Card</t>
        </is>
      </c>
      <c r="C18" s="6">
        <f>COUNTIF(Audit!$B$2:$B$201,B18)</f>
        <v/>
      </c>
      <c r="D18" s="14">
        <f>SUMIF(Audit!$B$2:$B$201,B18,Audit!$J$2:$J$201)</f>
        <v/>
      </c>
      <c r="E18" s="14">
        <f>SUMIF(Audit!$B$2:$B$201,B18,Audit!$G$2:$G$201)</f>
        <v/>
      </c>
      <c r="F18" s="14">
        <f>SUMIFS(Audit!$K$2:$K$201,Audit!$B$2:$B$201,B18,Audit!$L$2:$L$201,"OVERCHARGED")</f>
        <v/>
      </c>
    </row>
    <row r="19">
      <c r="B19" s="6" t="inlineStr">
        <is>
          <t>Netbanking</t>
        </is>
      </c>
      <c r="C19" s="6">
        <f>COUNTIF(Audit!$B$2:$B$201,B19)</f>
        <v/>
      </c>
      <c r="D19" s="14">
        <f>SUMIF(Audit!$B$2:$B$201,B19,Audit!$J$2:$J$201)</f>
        <v/>
      </c>
      <c r="E19" s="14">
        <f>SUMIF(Audit!$B$2:$B$201,B19,Audit!$G$2:$G$201)</f>
        <v/>
      </c>
      <c r="F19" s="14">
        <f>SUMIFS(Audit!$K$2:$K$201,Audit!$B$2:$B$201,B19,Audit!$L$2:$L$201,"OVERCHARGED")</f>
        <v/>
      </c>
    </row>
    <row r="20">
      <c r="B20" s="6" t="inlineStr">
        <is>
          <t>Wallet</t>
        </is>
      </c>
      <c r="C20" s="6">
        <f>COUNTIF(Audit!$B$2:$B$201,B20)</f>
        <v/>
      </c>
      <c r="D20" s="14">
        <f>SUMIF(Audit!$B$2:$B$201,B20,Audit!$J$2:$J$201)</f>
        <v/>
      </c>
      <c r="E20" s="14">
        <f>SUMIF(Audit!$B$2:$B$201,B20,Audit!$G$2:$G$201)</f>
        <v/>
      </c>
      <c r="F20" s="14">
        <f>SUMIFS(Audit!$K$2:$K$201,Audit!$B$2:$B$201,B20,Audit!$L$2:$L$201,"OVERCHARGED")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2026-07-06T12:33:06Z</dcterms:created>
  <dcterms:modified xmlns:dcterms="http://purl.org/dc/terms/" xmlns:xsi="http://www.w3.org/2001/XMLSchema-instance" xsi:type="dcterms:W3CDTF">2026-07-06T12:33:06Z</dcterms:modified>
</cp:coreProperties>
</file>