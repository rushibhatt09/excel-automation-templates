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ox Library" sheetId="2" state="visible" r:id="rId2"/>
    <sheet xmlns:r="http://schemas.openxmlformats.org/officeDocument/2006/relationships" name="Product Data" sheetId="3" state="visible" r:id="rId3"/>
    <sheet xmlns:r="http://schemas.openxmlformats.org/officeDocument/2006/relationships" name="Fit Checke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 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b val="1"/>
    </font>
    <font>
      <name val="Arial"/>
      <sz val="11"/>
    </font>
    <font>
      <name val="Arial"/>
      <b val="1"/>
      <color rgb="001F4E5F"/>
      <sz val="12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666666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3" borderId="1" pivotButton="0" quotePrefix="0" xfId="0"/>
    <xf numFmtId="164" fontId="7" fillId="3" borderId="1" pivotButton="0" quotePrefix="0" xfId="0"/>
    <xf numFmtId="3" fontId="6" fillId="0" borderId="1" pivotButton="0" quotePrefix="0" xfId="0"/>
    <xf numFmtId="0" fontId="8" fillId="0" borderId="0" pivotButton="0" quotePrefix="0" xfId="0"/>
    <xf numFmtId="0" fontId="7" fillId="0" borderId="1" pivotButton="0" quotePrefix="0" xfId="0"/>
    <xf numFmtId="2" fontId="7" fillId="0" borderId="1" pivotButton="0" quotePrefix="0" xfId="0"/>
    <xf numFmtId="0" fontId="9" fillId="0" borderId="1" pivotButton="0" quotePrefix="0" xfId="0"/>
    <xf numFmtId="2" fontId="9" fillId="0" borderId="1" pivotButton="0" quotePrefix="0" xfId="0"/>
    <xf numFmtId="164" fontId="9" fillId="0" borderId="1" pivotButton="0" quotePrefix="0" xfId="0"/>
    <xf numFmtId="165" fontId="6" fillId="0" borderId="1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Volumetric Weight &amp; Box-Fit Checker</t>
        </is>
      </c>
    </row>
    <row r="4">
      <c r="B4" s="2" t="inlineStr">
        <is>
          <t>What this does</t>
        </is>
      </c>
    </row>
    <row r="5">
      <c r="B5" s="3" t="inlineStr">
        <is>
          <t>Checks every product against your standard box sizes and tells you the cheapest box it actually fits in - and flags products that don't fit any box you stock, so you're not overpaying for oversized packaging or discovering a bad fit at the packing table.</t>
        </is>
      </c>
    </row>
    <row r="6">
      <c r="B6" s="3" t="n"/>
    </row>
    <row r="7">
      <c r="B7" s="3" t="inlineStr">
        <is>
          <t>How to use it</t>
        </is>
      </c>
    </row>
    <row r="8">
      <c r="B8" s="3" t="inlineStr">
        <is>
          <t>1. Go to the 'Box Library' tab and replace the sample boxes with your own carton sizes and costs (cells shaded yellow).</t>
        </is>
      </c>
    </row>
    <row r="9">
      <c r="B9" s="3" t="inlineStr">
        <is>
          <t>2. Go to the 'Product Data' tab and paste your own product dimensions, replacing the sample rows.</t>
        </is>
      </c>
    </row>
    <row r="10">
      <c r="B10" s="3" t="inlineStr">
        <is>
          <t>3. IMPORTANT: for every product AND every box, enter Length as the longest side, Width as the middle side, and Height as the shortest side. This keeps the fit-check accurate regardless of which way the box is oriented.</t>
        </is>
      </c>
    </row>
    <row r="11">
      <c r="B11" s="3" t="inlineStr">
        <is>
          <t>4. Open the 'Fit Checker' tab - it shows the cheapest box each product fits in, or 'NO BOX FITS' if none do.</t>
        </is>
      </c>
    </row>
    <row r="12">
      <c r="B12" s="3" t="n"/>
    </row>
    <row r="13">
      <c r="B13" s="3" t="inlineStr">
        <is>
          <t>Notes</t>
        </is>
      </c>
    </row>
    <row r="14">
      <c r="B14" s="3" t="inlineStr">
        <is>
          <t>- All costs are in INR (Rs), all dimensions in cm, all weights in kg.</t>
        </is>
      </c>
    </row>
    <row r="15">
      <c r="B15" s="3" t="inlineStr">
        <is>
          <t>- The Box Library should be ordered from smallest/cheapest to largest/costliest - the checker recommends the first (cheapest) box a product fits in.</t>
        </is>
      </c>
    </row>
    <row r="16">
      <c r="B16" s="3" t="inlineStr">
        <is>
          <t>- This is a generic template with illustrative sample data - it is not tied to any specific brand or product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6" customWidth="1" min="5" max="5"/>
    <col width="20" customWidth="1" min="6" max="6"/>
    <col width="16" customWidth="1" min="7" max="7"/>
    <col width="14" customWidth="1" min="8" max="8"/>
  </cols>
  <sheetData>
    <row r="1">
      <c r="A1" s="4" t="inlineStr">
        <is>
          <t>Box Library - SAMPLE VALUES, replace with your own carton sizes</t>
        </is>
      </c>
    </row>
    <row r="3">
      <c r="A3" s="5" t="inlineStr">
        <is>
          <t>Box Code</t>
        </is>
      </c>
      <c r="B3" s="5" t="inlineStr">
        <is>
          <t>Box Name</t>
        </is>
      </c>
      <c r="C3" s="5" t="inlineStr">
        <is>
          <t>Internal Length (cm)</t>
        </is>
      </c>
      <c r="D3" s="5" t="inlineStr">
        <is>
          <t>Internal Width (cm)</t>
        </is>
      </c>
      <c r="E3" s="5" t="inlineStr">
        <is>
          <t>Internal Height (cm)</t>
        </is>
      </c>
      <c r="F3" s="5" t="inlineStr">
        <is>
          <t>Max Weight Capacity (kg)</t>
        </is>
      </c>
      <c r="G3" s="5" t="inlineStr">
        <is>
          <t>Cost per Box (Rs)</t>
        </is>
      </c>
      <c r="H3" s="5" t="inlineStr">
        <is>
          <t>Volume (cm3)</t>
        </is>
      </c>
    </row>
    <row r="4">
      <c r="A4" s="6" t="inlineStr">
        <is>
          <t>BX1</t>
        </is>
      </c>
      <c r="B4" s="6" t="inlineStr">
        <is>
          <t>XS</t>
        </is>
      </c>
      <c r="C4" s="7" t="n">
        <v>15</v>
      </c>
      <c r="D4" s="7" t="n">
        <v>10</v>
      </c>
      <c r="E4" s="7" t="n">
        <v>8</v>
      </c>
      <c r="F4" s="7" t="n">
        <v>2</v>
      </c>
      <c r="G4" s="8" t="n">
        <v>6</v>
      </c>
      <c r="H4" s="9">
        <f>C4*D4*E4</f>
        <v/>
      </c>
    </row>
    <row r="5">
      <c r="A5" s="6" t="inlineStr">
        <is>
          <t>BX2</t>
        </is>
      </c>
      <c r="B5" s="6" t="inlineStr">
        <is>
          <t>S</t>
        </is>
      </c>
      <c r="C5" s="7" t="n">
        <v>20</v>
      </c>
      <c r="D5" s="7" t="n">
        <v>15</v>
      </c>
      <c r="E5" s="7" t="n">
        <v>10</v>
      </c>
      <c r="F5" s="7" t="n">
        <v>5</v>
      </c>
      <c r="G5" s="8" t="n">
        <v>8</v>
      </c>
      <c r="H5" s="9">
        <f>C5*D5*E5</f>
        <v/>
      </c>
    </row>
    <row r="6">
      <c r="A6" s="6" t="inlineStr">
        <is>
          <t>BX3</t>
        </is>
      </c>
      <c r="B6" s="6" t="inlineStr">
        <is>
          <t>M</t>
        </is>
      </c>
      <c r="C6" s="7" t="n">
        <v>25</v>
      </c>
      <c r="D6" s="7" t="n">
        <v>20</v>
      </c>
      <c r="E6" s="7" t="n">
        <v>15</v>
      </c>
      <c r="F6" s="7" t="n">
        <v>8</v>
      </c>
      <c r="G6" s="8" t="n">
        <v>11</v>
      </c>
      <c r="H6" s="9">
        <f>C6*D6*E6</f>
        <v/>
      </c>
    </row>
    <row r="7">
      <c r="A7" s="6" t="inlineStr">
        <is>
          <t>BX4</t>
        </is>
      </c>
      <c r="B7" s="6" t="inlineStr">
        <is>
          <t>L</t>
        </is>
      </c>
      <c r="C7" s="7" t="n">
        <v>35</v>
      </c>
      <c r="D7" s="7" t="n">
        <v>28</v>
      </c>
      <c r="E7" s="7" t="n">
        <v>18</v>
      </c>
      <c r="F7" s="7" t="n">
        <v>12</v>
      </c>
      <c r="G7" s="8" t="n">
        <v>15</v>
      </c>
      <c r="H7" s="9">
        <f>C7*D7*E7</f>
        <v/>
      </c>
    </row>
    <row r="8">
      <c r="A8" s="6" t="inlineStr">
        <is>
          <t>BX5</t>
        </is>
      </c>
      <c r="B8" s="6" t="inlineStr">
        <is>
          <t>XL</t>
        </is>
      </c>
      <c r="C8" s="7" t="n">
        <v>45</v>
      </c>
      <c r="D8" s="7" t="n">
        <v>35</v>
      </c>
      <c r="E8" s="7" t="n">
        <v>25</v>
      </c>
      <c r="F8" s="7" t="n">
        <v>20</v>
      </c>
      <c r="G8" s="8" t="n">
        <v>22</v>
      </c>
      <c r="H8" s="9">
        <f>C8*D8*E8</f>
        <v/>
      </c>
    </row>
    <row r="11">
      <c r="A11" s="10" t="inlineStr">
        <is>
          <t>Keep boxes ordered smallest/cheapest to largest/costliest - the Fit Checker recommends the first one that fits.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Length (cm)</t>
        </is>
      </c>
      <c r="D1" s="5" t="inlineStr">
        <is>
          <t>Width (cm)</t>
        </is>
      </c>
      <c r="E1" s="5" t="inlineStr">
        <is>
          <t>Height (cm)</t>
        </is>
      </c>
      <c r="F1" s="5" t="inlineStr">
        <is>
          <t>Weight (kg)</t>
        </is>
      </c>
    </row>
    <row r="2">
      <c r="A2" s="11" t="inlineStr">
        <is>
          <t>SKU-1001</t>
        </is>
      </c>
      <c r="B2" s="11" t="inlineStr">
        <is>
          <t>Face Serum 30ml</t>
        </is>
      </c>
      <c r="C2" s="12" t="n">
        <v>12</v>
      </c>
      <c r="D2" s="12" t="n">
        <v>8</v>
      </c>
      <c r="E2" s="12" t="n">
        <v>6</v>
      </c>
      <c r="F2" s="12" t="n">
        <v>0.15</v>
      </c>
    </row>
    <row r="3">
      <c r="A3" s="11" t="inlineStr">
        <is>
          <t>SKU-1002</t>
        </is>
      </c>
      <c r="B3" s="11" t="inlineStr">
        <is>
          <t>Sunscreen Combo Pack</t>
        </is>
      </c>
      <c r="C3" s="12" t="n">
        <v>18</v>
      </c>
      <c r="D3" s="12" t="n">
        <v>13</v>
      </c>
      <c r="E3" s="12" t="n">
        <v>9</v>
      </c>
      <c r="F3" s="12" t="n">
        <v>0.35</v>
      </c>
    </row>
    <row r="4">
      <c r="A4" s="11" t="inlineStr">
        <is>
          <t>SKU-1003</t>
        </is>
      </c>
      <c r="B4" s="11" t="inlineStr">
        <is>
          <t>Face Wash 100ml x2</t>
        </is>
      </c>
      <c r="C4" s="12" t="n">
        <v>16</v>
      </c>
      <c r="D4" s="12" t="n">
        <v>11</v>
      </c>
      <c r="E4" s="12" t="n">
        <v>7</v>
      </c>
      <c r="F4" s="12" t="n">
        <v>0.4</v>
      </c>
    </row>
    <row r="5">
      <c r="A5" s="11" t="inlineStr">
        <is>
          <t>SKU-1004</t>
        </is>
      </c>
      <c r="B5" s="11" t="inlineStr">
        <is>
          <t>Moisturizer Jar Large</t>
        </is>
      </c>
      <c r="C5" s="12" t="n">
        <v>22</v>
      </c>
      <c r="D5" s="12" t="n">
        <v>18</v>
      </c>
      <c r="E5" s="12" t="n">
        <v>12</v>
      </c>
      <c r="F5" s="12" t="n">
        <v>0.6</v>
      </c>
    </row>
    <row r="6">
      <c r="A6" s="11" t="inlineStr">
        <is>
          <t>SKU-1005</t>
        </is>
      </c>
      <c r="B6" s="11" t="inlineStr">
        <is>
          <t>Gift Hamper Small</t>
        </is>
      </c>
      <c r="C6" s="12" t="n">
        <v>24</v>
      </c>
      <c r="D6" s="12" t="n">
        <v>19</v>
      </c>
      <c r="E6" s="12" t="n">
        <v>14</v>
      </c>
      <c r="F6" s="12" t="n">
        <v>1.2</v>
      </c>
    </row>
    <row r="7">
      <c r="A7" s="11" t="inlineStr">
        <is>
          <t>SKU-1006</t>
        </is>
      </c>
      <c r="B7" s="11" t="inlineStr">
        <is>
          <t>Gift Hamper Large</t>
        </is>
      </c>
      <c r="C7" s="12" t="n">
        <v>33</v>
      </c>
      <c r="D7" s="12" t="n">
        <v>26</v>
      </c>
      <c r="E7" s="12" t="n">
        <v>16</v>
      </c>
      <c r="F7" s="12" t="n">
        <v>3.5</v>
      </c>
    </row>
    <row r="8">
      <c r="A8" s="11" t="inlineStr">
        <is>
          <t>SKU-1007</t>
        </is>
      </c>
      <c r="B8" s="11" t="inlineStr">
        <is>
          <t>Hair Dryer</t>
        </is>
      </c>
      <c r="C8" s="12" t="n">
        <v>30</v>
      </c>
      <c r="D8" s="12" t="n">
        <v>14</v>
      </c>
      <c r="E8" s="12" t="n">
        <v>10</v>
      </c>
      <c r="F8" s="12" t="n">
        <v>0.9</v>
      </c>
    </row>
    <row r="9">
      <c r="A9" s="11" t="inlineStr">
        <is>
          <t>SKU-1008</t>
        </is>
      </c>
      <c r="B9" s="11" t="inlineStr">
        <is>
          <t>Combo Kit 6-pc</t>
        </is>
      </c>
      <c r="C9" s="12" t="n">
        <v>34</v>
      </c>
      <c r="D9" s="12" t="n">
        <v>27</v>
      </c>
      <c r="E9" s="12" t="n">
        <v>17</v>
      </c>
      <c r="F9" s="12" t="n">
        <v>4.8</v>
      </c>
    </row>
    <row r="10">
      <c r="A10" s="11" t="inlineStr">
        <is>
          <t>SKU-1009</t>
        </is>
      </c>
      <c r="B10" s="11" t="inlineStr">
        <is>
          <t>Bulk Wholesale Carton</t>
        </is>
      </c>
      <c r="C10" s="12" t="n">
        <v>44</v>
      </c>
      <c r="D10" s="12" t="n">
        <v>34</v>
      </c>
      <c r="E10" s="12" t="n">
        <v>24</v>
      </c>
      <c r="F10" s="12" t="n">
        <v>9</v>
      </c>
    </row>
    <row r="11">
      <c r="A11" s="11" t="inlineStr">
        <is>
          <t>SKU-1010</t>
        </is>
      </c>
      <c r="B11" s="11" t="inlineStr">
        <is>
          <t>Oversized Appliance</t>
        </is>
      </c>
      <c r="C11" s="12" t="n">
        <v>60</v>
      </c>
      <c r="D11" s="12" t="n">
        <v>40</v>
      </c>
      <c r="E11" s="12" t="n">
        <v>30</v>
      </c>
      <c r="F11" s="12" t="n">
        <v>15</v>
      </c>
    </row>
    <row r="210">
      <c r="A210" s="10" t="inlineStr">
        <is>
          <t>Replace with your own product list. Enter Length = longest side, Width = middle side, Height = shortest side.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20" customWidth="1" min="14" max="14"/>
    <col width="18" customWidth="1" min="15" max="15"/>
    <col width="38" customWidth="1" min="16" max="16"/>
  </cols>
  <sheetData>
    <row r="1">
      <c r="A1" s="5" t="inlineStr">
        <is>
          <t>SKU</t>
        </is>
      </c>
      <c r="B1" s="5" t="inlineStr">
        <is>
          <t>Product Name</t>
        </is>
      </c>
      <c r="C1" s="5" t="inlineStr">
        <is>
          <t>Length (cm)</t>
        </is>
      </c>
      <c r="D1" s="5" t="inlineStr">
        <is>
          <t>Width (cm)</t>
        </is>
      </c>
      <c r="E1" s="5" t="inlineStr">
        <is>
          <t>Height (cm)</t>
        </is>
      </c>
      <c r="F1" s="5" t="inlineStr">
        <is>
          <t>Weight (kg)</t>
        </is>
      </c>
      <c r="G1" s="5" t="inlineStr">
        <is>
          <t>Product Volume (cm3)</t>
        </is>
      </c>
      <c r="H1" s="5" t="inlineStr">
        <is>
          <t>Fits BX1 (XS)</t>
        </is>
      </c>
      <c r="I1" s="5" t="inlineStr">
        <is>
          <t>Fits BX2 (S)</t>
        </is>
      </c>
      <c r="J1" s="5" t="inlineStr">
        <is>
          <t>Fits BX3 (M)</t>
        </is>
      </c>
      <c r="K1" s="5" t="inlineStr">
        <is>
          <t>Fits BX4 (L)</t>
        </is>
      </c>
      <c r="L1" s="5" t="inlineStr">
        <is>
          <t>Fits BX5 (XL)</t>
        </is>
      </c>
      <c r="M1" s="5" t="inlineStr">
        <is>
          <t>Recommended Box</t>
        </is>
      </c>
      <c r="N1" s="5" t="inlineStr">
        <is>
          <t>Recommended Box Cost (Rs)</t>
        </is>
      </c>
      <c r="O1" s="5" t="inlineStr">
        <is>
          <t>Space Utilization (%)</t>
        </is>
      </c>
      <c r="P1" s="5" t="inlineStr">
        <is>
          <t>Status</t>
        </is>
      </c>
    </row>
    <row r="2">
      <c r="A2" s="13">
        <f>IF('Product Data'!A2="","",'Product Data'!A2)</f>
        <v/>
      </c>
      <c r="B2" s="13">
        <f>IF('Product Data'!A2="","",'Product Data'!B2)</f>
        <v/>
      </c>
      <c r="C2" s="14">
        <f>IF('Product Data'!A2="","",'Product Data'!C2)</f>
        <v/>
      </c>
      <c r="D2" s="14">
        <f>IF('Product Data'!A2="","",'Product Data'!D2)</f>
        <v/>
      </c>
      <c r="E2" s="14">
        <f>IF('Product Data'!A2="","",'Product Data'!E2)</f>
        <v/>
      </c>
      <c r="F2" s="14">
        <f>IF('Product Data'!A2="","",'Product Data'!F2)</f>
        <v/>
      </c>
      <c r="G2" s="9">
        <f>IF('Product Data'!A2="","",C2*D2*E2)</f>
        <v/>
      </c>
      <c r="H2" s="13">
        <f>IF('Product Data'!A2="","",AND($C2&lt;='Box Library'!$C$4,$D2&lt;='Box Library'!$D$4,$E2&lt;='Box Library'!$E$4,$F2&lt;='Box Library'!$F$4))</f>
        <v/>
      </c>
      <c r="I2" s="13">
        <f>IF('Product Data'!A2="","",AND($C2&lt;='Box Library'!$C$5,$D2&lt;='Box Library'!$D$5,$E2&lt;='Box Library'!$E$5,$F2&lt;='Box Library'!$F$5))</f>
        <v/>
      </c>
      <c r="J2" s="13">
        <f>IF('Product Data'!A2="","",AND($C2&lt;='Box Library'!$C$6,$D2&lt;='Box Library'!$D$6,$E2&lt;='Box Library'!$E$6,$F2&lt;='Box Library'!$F$6))</f>
        <v/>
      </c>
      <c r="K2" s="13">
        <f>IF('Product Data'!A2="","",AND($C2&lt;='Box Library'!$C$7,$D2&lt;='Box Library'!$D$7,$E2&lt;='Box Library'!$E$7,$F2&lt;='Box Library'!$F$7))</f>
        <v/>
      </c>
      <c r="L2" s="13">
        <f>IF('Product Data'!A2="","",AND($C2&lt;='Box Library'!$C$8,$D2&lt;='Box Library'!$D$8,$E2&lt;='Box Library'!$E$8,$F2&lt;='Box Library'!$F$8))</f>
        <v/>
      </c>
      <c r="M2" s="13">
        <f>IF('Product Data'!A2="","",IF(H2,'Box Library'!$A$4,IF(I2,'Box Library'!$A$5,IF(J2,'Box Library'!$A$6,IF(K2,'Box Library'!$A$7,IF(L2,'Box Library'!$A$8,"NO BOX FITS"))))))</f>
        <v/>
      </c>
      <c r="N2" s="15">
        <f>IF('Product Data'!A2="","",IF(H2,'Box Library'!$G$4,IF(I2,'Box Library'!$G$5,IF(J2,'Box Library'!$G$6,IF(K2,'Box Library'!$G$7,IF(L2,'Box Library'!$G$8,0))))))</f>
        <v/>
      </c>
      <c r="O2" s="16">
        <f>IF('Product Data'!A2="","",IF(M2="NO BOX FITS",0,G2/(IF(H2,'Box Library'!$H$4,IF(I2,'Box Library'!$H$5,IF(J2,'Box Library'!$H$6,IF(K2,'Box Library'!$H$7,'Box Library'!$H$8)))))))</f>
        <v/>
      </c>
      <c r="P2" s="6">
        <f>IF('Product Data'!A2="","",IF(M2="NO BOX FITS","REVIEW - NO STANDARD BOX FITS","OK"))</f>
        <v/>
      </c>
    </row>
    <row r="3">
      <c r="A3" s="13">
        <f>IF('Product Data'!A3="","",'Product Data'!A3)</f>
        <v/>
      </c>
      <c r="B3" s="13">
        <f>IF('Product Data'!A3="","",'Product Data'!B3)</f>
        <v/>
      </c>
      <c r="C3" s="14">
        <f>IF('Product Data'!A3="","",'Product Data'!C3)</f>
        <v/>
      </c>
      <c r="D3" s="14">
        <f>IF('Product Data'!A3="","",'Product Data'!D3)</f>
        <v/>
      </c>
      <c r="E3" s="14">
        <f>IF('Product Data'!A3="","",'Product Data'!E3)</f>
        <v/>
      </c>
      <c r="F3" s="14">
        <f>IF('Product Data'!A3="","",'Product Data'!F3)</f>
        <v/>
      </c>
      <c r="G3" s="9">
        <f>IF('Product Data'!A3="","",C3*D3*E3)</f>
        <v/>
      </c>
      <c r="H3" s="13">
        <f>IF('Product Data'!A3="","",AND($C3&lt;='Box Library'!$C$4,$D3&lt;='Box Library'!$D$4,$E3&lt;='Box Library'!$E$4,$F3&lt;='Box Library'!$F$4))</f>
        <v/>
      </c>
      <c r="I3" s="13">
        <f>IF('Product Data'!A3="","",AND($C3&lt;='Box Library'!$C$5,$D3&lt;='Box Library'!$D$5,$E3&lt;='Box Library'!$E$5,$F3&lt;='Box Library'!$F$5))</f>
        <v/>
      </c>
      <c r="J3" s="13">
        <f>IF('Product Data'!A3="","",AND($C3&lt;='Box Library'!$C$6,$D3&lt;='Box Library'!$D$6,$E3&lt;='Box Library'!$E$6,$F3&lt;='Box Library'!$F$6))</f>
        <v/>
      </c>
      <c r="K3" s="13">
        <f>IF('Product Data'!A3="","",AND($C3&lt;='Box Library'!$C$7,$D3&lt;='Box Library'!$D$7,$E3&lt;='Box Library'!$E$7,$F3&lt;='Box Library'!$F$7))</f>
        <v/>
      </c>
      <c r="L3" s="13">
        <f>IF('Product Data'!A3="","",AND($C3&lt;='Box Library'!$C$8,$D3&lt;='Box Library'!$D$8,$E3&lt;='Box Library'!$E$8,$F3&lt;='Box Library'!$F$8))</f>
        <v/>
      </c>
      <c r="M3" s="13">
        <f>IF('Product Data'!A3="","",IF(H3,'Box Library'!$A$4,IF(I3,'Box Library'!$A$5,IF(J3,'Box Library'!$A$6,IF(K3,'Box Library'!$A$7,IF(L3,'Box Library'!$A$8,"NO BOX FITS"))))))</f>
        <v/>
      </c>
      <c r="N3" s="15">
        <f>IF('Product Data'!A3="","",IF(H3,'Box Library'!$G$4,IF(I3,'Box Library'!$G$5,IF(J3,'Box Library'!$G$6,IF(K3,'Box Library'!$G$7,IF(L3,'Box Library'!$G$8,0))))))</f>
        <v/>
      </c>
      <c r="O3" s="16">
        <f>IF('Product Data'!A3="","",IF(M3="NO BOX FITS",0,G3/(IF(H3,'Box Library'!$H$4,IF(I3,'Box Library'!$H$5,IF(J3,'Box Library'!$H$6,IF(K3,'Box Library'!$H$7,'Box Library'!$H$8)))))))</f>
        <v/>
      </c>
      <c r="P3" s="6">
        <f>IF('Product Data'!A3="","",IF(M3="NO BOX FITS","REVIEW - NO STANDARD BOX FITS","OK"))</f>
        <v/>
      </c>
    </row>
    <row r="4">
      <c r="A4" s="13">
        <f>IF('Product Data'!A4="","",'Product Data'!A4)</f>
        <v/>
      </c>
      <c r="B4" s="13">
        <f>IF('Product Data'!A4="","",'Product Data'!B4)</f>
        <v/>
      </c>
      <c r="C4" s="14">
        <f>IF('Product Data'!A4="","",'Product Data'!C4)</f>
        <v/>
      </c>
      <c r="D4" s="14">
        <f>IF('Product Data'!A4="","",'Product Data'!D4)</f>
        <v/>
      </c>
      <c r="E4" s="14">
        <f>IF('Product Data'!A4="","",'Product Data'!E4)</f>
        <v/>
      </c>
      <c r="F4" s="14">
        <f>IF('Product Data'!A4="","",'Product Data'!F4)</f>
        <v/>
      </c>
      <c r="G4" s="9">
        <f>IF('Product Data'!A4="","",C4*D4*E4)</f>
        <v/>
      </c>
      <c r="H4" s="13">
        <f>IF('Product Data'!A4="","",AND($C4&lt;='Box Library'!$C$4,$D4&lt;='Box Library'!$D$4,$E4&lt;='Box Library'!$E$4,$F4&lt;='Box Library'!$F$4))</f>
        <v/>
      </c>
      <c r="I4" s="13">
        <f>IF('Product Data'!A4="","",AND($C4&lt;='Box Library'!$C$5,$D4&lt;='Box Library'!$D$5,$E4&lt;='Box Library'!$E$5,$F4&lt;='Box Library'!$F$5))</f>
        <v/>
      </c>
      <c r="J4" s="13">
        <f>IF('Product Data'!A4="","",AND($C4&lt;='Box Library'!$C$6,$D4&lt;='Box Library'!$D$6,$E4&lt;='Box Library'!$E$6,$F4&lt;='Box Library'!$F$6))</f>
        <v/>
      </c>
      <c r="K4" s="13">
        <f>IF('Product Data'!A4="","",AND($C4&lt;='Box Library'!$C$7,$D4&lt;='Box Library'!$D$7,$E4&lt;='Box Library'!$E$7,$F4&lt;='Box Library'!$F$7))</f>
        <v/>
      </c>
      <c r="L4" s="13">
        <f>IF('Product Data'!A4="","",AND($C4&lt;='Box Library'!$C$8,$D4&lt;='Box Library'!$D$8,$E4&lt;='Box Library'!$E$8,$F4&lt;='Box Library'!$F$8))</f>
        <v/>
      </c>
      <c r="M4" s="13">
        <f>IF('Product Data'!A4="","",IF(H4,'Box Library'!$A$4,IF(I4,'Box Library'!$A$5,IF(J4,'Box Library'!$A$6,IF(K4,'Box Library'!$A$7,IF(L4,'Box Library'!$A$8,"NO BOX FITS"))))))</f>
        <v/>
      </c>
      <c r="N4" s="15">
        <f>IF('Product Data'!A4="","",IF(H4,'Box Library'!$G$4,IF(I4,'Box Library'!$G$5,IF(J4,'Box Library'!$G$6,IF(K4,'Box Library'!$G$7,IF(L4,'Box Library'!$G$8,0))))))</f>
        <v/>
      </c>
      <c r="O4" s="16">
        <f>IF('Product Data'!A4="","",IF(M4="NO BOX FITS",0,G4/(IF(H4,'Box Library'!$H$4,IF(I4,'Box Library'!$H$5,IF(J4,'Box Library'!$H$6,IF(K4,'Box Library'!$H$7,'Box Library'!$H$8)))))))</f>
        <v/>
      </c>
      <c r="P4" s="6">
        <f>IF('Product Data'!A4="","",IF(M4="NO BOX FITS","REVIEW - NO STANDARD BOX FITS","OK"))</f>
        <v/>
      </c>
    </row>
    <row r="5">
      <c r="A5" s="13">
        <f>IF('Product Data'!A5="","",'Product Data'!A5)</f>
        <v/>
      </c>
      <c r="B5" s="13">
        <f>IF('Product Data'!A5="","",'Product Data'!B5)</f>
        <v/>
      </c>
      <c r="C5" s="14">
        <f>IF('Product Data'!A5="","",'Product Data'!C5)</f>
        <v/>
      </c>
      <c r="D5" s="14">
        <f>IF('Product Data'!A5="","",'Product Data'!D5)</f>
        <v/>
      </c>
      <c r="E5" s="14">
        <f>IF('Product Data'!A5="","",'Product Data'!E5)</f>
        <v/>
      </c>
      <c r="F5" s="14">
        <f>IF('Product Data'!A5="","",'Product Data'!F5)</f>
        <v/>
      </c>
      <c r="G5" s="9">
        <f>IF('Product Data'!A5="","",C5*D5*E5)</f>
        <v/>
      </c>
      <c r="H5" s="13">
        <f>IF('Product Data'!A5="","",AND($C5&lt;='Box Library'!$C$4,$D5&lt;='Box Library'!$D$4,$E5&lt;='Box Library'!$E$4,$F5&lt;='Box Library'!$F$4))</f>
        <v/>
      </c>
      <c r="I5" s="13">
        <f>IF('Product Data'!A5="","",AND($C5&lt;='Box Library'!$C$5,$D5&lt;='Box Library'!$D$5,$E5&lt;='Box Library'!$E$5,$F5&lt;='Box Library'!$F$5))</f>
        <v/>
      </c>
      <c r="J5" s="13">
        <f>IF('Product Data'!A5="","",AND($C5&lt;='Box Library'!$C$6,$D5&lt;='Box Library'!$D$6,$E5&lt;='Box Library'!$E$6,$F5&lt;='Box Library'!$F$6))</f>
        <v/>
      </c>
      <c r="K5" s="13">
        <f>IF('Product Data'!A5="","",AND($C5&lt;='Box Library'!$C$7,$D5&lt;='Box Library'!$D$7,$E5&lt;='Box Library'!$E$7,$F5&lt;='Box Library'!$F$7))</f>
        <v/>
      </c>
      <c r="L5" s="13">
        <f>IF('Product Data'!A5="","",AND($C5&lt;='Box Library'!$C$8,$D5&lt;='Box Library'!$D$8,$E5&lt;='Box Library'!$E$8,$F5&lt;='Box Library'!$F$8))</f>
        <v/>
      </c>
      <c r="M5" s="13">
        <f>IF('Product Data'!A5="","",IF(H5,'Box Library'!$A$4,IF(I5,'Box Library'!$A$5,IF(J5,'Box Library'!$A$6,IF(K5,'Box Library'!$A$7,IF(L5,'Box Library'!$A$8,"NO BOX FITS"))))))</f>
        <v/>
      </c>
      <c r="N5" s="15">
        <f>IF('Product Data'!A5="","",IF(H5,'Box Library'!$G$4,IF(I5,'Box Library'!$G$5,IF(J5,'Box Library'!$G$6,IF(K5,'Box Library'!$G$7,IF(L5,'Box Library'!$G$8,0))))))</f>
        <v/>
      </c>
      <c r="O5" s="16">
        <f>IF('Product Data'!A5="","",IF(M5="NO BOX FITS",0,G5/(IF(H5,'Box Library'!$H$4,IF(I5,'Box Library'!$H$5,IF(J5,'Box Library'!$H$6,IF(K5,'Box Library'!$H$7,'Box Library'!$H$8)))))))</f>
        <v/>
      </c>
      <c r="P5" s="6">
        <f>IF('Product Data'!A5="","",IF(M5="NO BOX FITS","REVIEW - NO STANDARD BOX FITS","OK"))</f>
        <v/>
      </c>
    </row>
    <row r="6">
      <c r="A6" s="13">
        <f>IF('Product Data'!A6="","",'Product Data'!A6)</f>
        <v/>
      </c>
      <c r="B6" s="13">
        <f>IF('Product Data'!A6="","",'Product Data'!B6)</f>
        <v/>
      </c>
      <c r="C6" s="14">
        <f>IF('Product Data'!A6="","",'Product Data'!C6)</f>
        <v/>
      </c>
      <c r="D6" s="14">
        <f>IF('Product Data'!A6="","",'Product Data'!D6)</f>
        <v/>
      </c>
      <c r="E6" s="14">
        <f>IF('Product Data'!A6="","",'Product Data'!E6)</f>
        <v/>
      </c>
      <c r="F6" s="14">
        <f>IF('Product Data'!A6="","",'Product Data'!F6)</f>
        <v/>
      </c>
      <c r="G6" s="9">
        <f>IF('Product Data'!A6="","",C6*D6*E6)</f>
        <v/>
      </c>
      <c r="H6" s="13">
        <f>IF('Product Data'!A6="","",AND($C6&lt;='Box Library'!$C$4,$D6&lt;='Box Library'!$D$4,$E6&lt;='Box Library'!$E$4,$F6&lt;='Box Library'!$F$4))</f>
        <v/>
      </c>
      <c r="I6" s="13">
        <f>IF('Product Data'!A6="","",AND($C6&lt;='Box Library'!$C$5,$D6&lt;='Box Library'!$D$5,$E6&lt;='Box Library'!$E$5,$F6&lt;='Box Library'!$F$5))</f>
        <v/>
      </c>
      <c r="J6" s="13">
        <f>IF('Product Data'!A6="","",AND($C6&lt;='Box Library'!$C$6,$D6&lt;='Box Library'!$D$6,$E6&lt;='Box Library'!$E$6,$F6&lt;='Box Library'!$F$6))</f>
        <v/>
      </c>
      <c r="K6" s="13">
        <f>IF('Product Data'!A6="","",AND($C6&lt;='Box Library'!$C$7,$D6&lt;='Box Library'!$D$7,$E6&lt;='Box Library'!$E$7,$F6&lt;='Box Library'!$F$7))</f>
        <v/>
      </c>
      <c r="L6" s="13">
        <f>IF('Product Data'!A6="","",AND($C6&lt;='Box Library'!$C$8,$D6&lt;='Box Library'!$D$8,$E6&lt;='Box Library'!$E$8,$F6&lt;='Box Library'!$F$8))</f>
        <v/>
      </c>
      <c r="M6" s="13">
        <f>IF('Product Data'!A6="","",IF(H6,'Box Library'!$A$4,IF(I6,'Box Library'!$A$5,IF(J6,'Box Library'!$A$6,IF(K6,'Box Library'!$A$7,IF(L6,'Box Library'!$A$8,"NO BOX FITS"))))))</f>
        <v/>
      </c>
      <c r="N6" s="15">
        <f>IF('Product Data'!A6="","",IF(H6,'Box Library'!$G$4,IF(I6,'Box Library'!$G$5,IF(J6,'Box Library'!$G$6,IF(K6,'Box Library'!$G$7,IF(L6,'Box Library'!$G$8,0))))))</f>
        <v/>
      </c>
      <c r="O6" s="16">
        <f>IF('Product Data'!A6="","",IF(M6="NO BOX FITS",0,G6/(IF(H6,'Box Library'!$H$4,IF(I6,'Box Library'!$H$5,IF(J6,'Box Library'!$H$6,IF(K6,'Box Library'!$H$7,'Box Library'!$H$8)))))))</f>
        <v/>
      </c>
      <c r="P6" s="6">
        <f>IF('Product Data'!A6="","",IF(M6="NO BOX FITS","REVIEW - NO STANDARD BOX FITS","OK"))</f>
        <v/>
      </c>
    </row>
    <row r="7">
      <c r="A7" s="13">
        <f>IF('Product Data'!A7="","",'Product Data'!A7)</f>
        <v/>
      </c>
      <c r="B7" s="13">
        <f>IF('Product Data'!A7="","",'Product Data'!B7)</f>
        <v/>
      </c>
      <c r="C7" s="14">
        <f>IF('Product Data'!A7="","",'Product Data'!C7)</f>
        <v/>
      </c>
      <c r="D7" s="14">
        <f>IF('Product Data'!A7="","",'Product Data'!D7)</f>
        <v/>
      </c>
      <c r="E7" s="14">
        <f>IF('Product Data'!A7="","",'Product Data'!E7)</f>
        <v/>
      </c>
      <c r="F7" s="14">
        <f>IF('Product Data'!A7="","",'Product Data'!F7)</f>
        <v/>
      </c>
      <c r="G7" s="9">
        <f>IF('Product Data'!A7="","",C7*D7*E7)</f>
        <v/>
      </c>
      <c r="H7" s="13">
        <f>IF('Product Data'!A7="","",AND($C7&lt;='Box Library'!$C$4,$D7&lt;='Box Library'!$D$4,$E7&lt;='Box Library'!$E$4,$F7&lt;='Box Library'!$F$4))</f>
        <v/>
      </c>
      <c r="I7" s="13">
        <f>IF('Product Data'!A7="","",AND($C7&lt;='Box Library'!$C$5,$D7&lt;='Box Library'!$D$5,$E7&lt;='Box Library'!$E$5,$F7&lt;='Box Library'!$F$5))</f>
        <v/>
      </c>
      <c r="J7" s="13">
        <f>IF('Product Data'!A7="","",AND($C7&lt;='Box Library'!$C$6,$D7&lt;='Box Library'!$D$6,$E7&lt;='Box Library'!$E$6,$F7&lt;='Box Library'!$F$6))</f>
        <v/>
      </c>
      <c r="K7" s="13">
        <f>IF('Product Data'!A7="","",AND($C7&lt;='Box Library'!$C$7,$D7&lt;='Box Library'!$D$7,$E7&lt;='Box Library'!$E$7,$F7&lt;='Box Library'!$F$7))</f>
        <v/>
      </c>
      <c r="L7" s="13">
        <f>IF('Product Data'!A7="","",AND($C7&lt;='Box Library'!$C$8,$D7&lt;='Box Library'!$D$8,$E7&lt;='Box Library'!$E$8,$F7&lt;='Box Library'!$F$8))</f>
        <v/>
      </c>
      <c r="M7" s="13">
        <f>IF('Product Data'!A7="","",IF(H7,'Box Library'!$A$4,IF(I7,'Box Library'!$A$5,IF(J7,'Box Library'!$A$6,IF(K7,'Box Library'!$A$7,IF(L7,'Box Library'!$A$8,"NO BOX FITS"))))))</f>
        <v/>
      </c>
      <c r="N7" s="15">
        <f>IF('Product Data'!A7="","",IF(H7,'Box Library'!$G$4,IF(I7,'Box Library'!$G$5,IF(J7,'Box Library'!$G$6,IF(K7,'Box Library'!$G$7,IF(L7,'Box Library'!$G$8,0))))))</f>
        <v/>
      </c>
      <c r="O7" s="16">
        <f>IF('Product Data'!A7="","",IF(M7="NO BOX FITS",0,G7/(IF(H7,'Box Library'!$H$4,IF(I7,'Box Library'!$H$5,IF(J7,'Box Library'!$H$6,IF(K7,'Box Library'!$H$7,'Box Library'!$H$8)))))))</f>
        <v/>
      </c>
      <c r="P7" s="6">
        <f>IF('Product Data'!A7="","",IF(M7="NO BOX FITS","REVIEW - NO STANDARD BOX FITS","OK"))</f>
        <v/>
      </c>
    </row>
    <row r="8">
      <c r="A8" s="13">
        <f>IF('Product Data'!A8="","",'Product Data'!A8)</f>
        <v/>
      </c>
      <c r="B8" s="13">
        <f>IF('Product Data'!A8="","",'Product Data'!B8)</f>
        <v/>
      </c>
      <c r="C8" s="14">
        <f>IF('Product Data'!A8="","",'Product Data'!C8)</f>
        <v/>
      </c>
      <c r="D8" s="14">
        <f>IF('Product Data'!A8="","",'Product Data'!D8)</f>
        <v/>
      </c>
      <c r="E8" s="14">
        <f>IF('Product Data'!A8="","",'Product Data'!E8)</f>
        <v/>
      </c>
      <c r="F8" s="14">
        <f>IF('Product Data'!A8="","",'Product Data'!F8)</f>
        <v/>
      </c>
      <c r="G8" s="9">
        <f>IF('Product Data'!A8="","",C8*D8*E8)</f>
        <v/>
      </c>
      <c r="H8" s="13">
        <f>IF('Product Data'!A8="","",AND($C8&lt;='Box Library'!$C$4,$D8&lt;='Box Library'!$D$4,$E8&lt;='Box Library'!$E$4,$F8&lt;='Box Library'!$F$4))</f>
        <v/>
      </c>
      <c r="I8" s="13">
        <f>IF('Product Data'!A8="","",AND($C8&lt;='Box Library'!$C$5,$D8&lt;='Box Library'!$D$5,$E8&lt;='Box Library'!$E$5,$F8&lt;='Box Library'!$F$5))</f>
        <v/>
      </c>
      <c r="J8" s="13">
        <f>IF('Product Data'!A8="","",AND($C8&lt;='Box Library'!$C$6,$D8&lt;='Box Library'!$D$6,$E8&lt;='Box Library'!$E$6,$F8&lt;='Box Library'!$F$6))</f>
        <v/>
      </c>
      <c r="K8" s="13">
        <f>IF('Product Data'!A8="","",AND($C8&lt;='Box Library'!$C$7,$D8&lt;='Box Library'!$D$7,$E8&lt;='Box Library'!$E$7,$F8&lt;='Box Library'!$F$7))</f>
        <v/>
      </c>
      <c r="L8" s="13">
        <f>IF('Product Data'!A8="","",AND($C8&lt;='Box Library'!$C$8,$D8&lt;='Box Library'!$D$8,$E8&lt;='Box Library'!$E$8,$F8&lt;='Box Library'!$F$8))</f>
        <v/>
      </c>
      <c r="M8" s="13">
        <f>IF('Product Data'!A8="","",IF(H8,'Box Library'!$A$4,IF(I8,'Box Library'!$A$5,IF(J8,'Box Library'!$A$6,IF(K8,'Box Library'!$A$7,IF(L8,'Box Library'!$A$8,"NO BOX FITS"))))))</f>
        <v/>
      </c>
      <c r="N8" s="15">
        <f>IF('Product Data'!A8="","",IF(H8,'Box Library'!$G$4,IF(I8,'Box Library'!$G$5,IF(J8,'Box Library'!$G$6,IF(K8,'Box Library'!$G$7,IF(L8,'Box Library'!$G$8,0))))))</f>
        <v/>
      </c>
      <c r="O8" s="16">
        <f>IF('Product Data'!A8="","",IF(M8="NO BOX FITS",0,G8/(IF(H8,'Box Library'!$H$4,IF(I8,'Box Library'!$H$5,IF(J8,'Box Library'!$H$6,IF(K8,'Box Library'!$H$7,'Box Library'!$H$8)))))))</f>
        <v/>
      </c>
      <c r="P8" s="6">
        <f>IF('Product Data'!A8="","",IF(M8="NO BOX FITS","REVIEW - NO STANDARD BOX FITS","OK"))</f>
        <v/>
      </c>
    </row>
    <row r="9">
      <c r="A9" s="13">
        <f>IF('Product Data'!A9="","",'Product Data'!A9)</f>
        <v/>
      </c>
      <c r="B9" s="13">
        <f>IF('Product Data'!A9="","",'Product Data'!B9)</f>
        <v/>
      </c>
      <c r="C9" s="14">
        <f>IF('Product Data'!A9="","",'Product Data'!C9)</f>
        <v/>
      </c>
      <c r="D9" s="14">
        <f>IF('Product Data'!A9="","",'Product Data'!D9)</f>
        <v/>
      </c>
      <c r="E9" s="14">
        <f>IF('Product Data'!A9="","",'Product Data'!E9)</f>
        <v/>
      </c>
      <c r="F9" s="14">
        <f>IF('Product Data'!A9="","",'Product Data'!F9)</f>
        <v/>
      </c>
      <c r="G9" s="9">
        <f>IF('Product Data'!A9="","",C9*D9*E9)</f>
        <v/>
      </c>
      <c r="H9" s="13">
        <f>IF('Product Data'!A9="","",AND($C9&lt;='Box Library'!$C$4,$D9&lt;='Box Library'!$D$4,$E9&lt;='Box Library'!$E$4,$F9&lt;='Box Library'!$F$4))</f>
        <v/>
      </c>
      <c r="I9" s="13">
        <f>IF('Product Data'!A9="","",AND($C9&lt;='Box Library'!$C$5,$D9&lt;='Box Library'!$D$5,$E9&lt;='Box Library'!$E$5,$F9&lt;='Box Library'!$F$5))</f>
        <v/>
      </c>
      <c r="J9" s="13">
        <f>IF('Product Data'!A9="","",AND($C9&lt;='Box Library'!$C$6,$D9&lt;='Box Library'!$D$6,$E9&lt;='Box Library'!$E$6,$F9&lt;='Box Library'!$F$6))</f>
        <v/>
      </c>
      <c r="K9" s="13">
        <f>IF('Product Data'!A9="","",AND($C9&lt;='Box Library'!$C$7,$D9&lt;='Box Library'!$D$7,$E9&lt;='Box Library'!$E$7,$F9&lt;='Box Library'!$F$7))</f>
        <v/>
      </c>
      <c r="L9" s="13">
        <f>IF('Product Data'!A9="","",AND($C9&lt;='Box Library'!$C$8,$D9&lt;='Box Library'!$D$8,$E9&lt;='Box Library'!$E$8,$F9&lt;='Box Library'!$F$8))</f>
        <v/>
      </c>
      <c r="M9" s="13">
        <f>IF('Product Data'!A9="","",IF(H9,'Box Library'!$A$4,IF(I9,'Box Library'!$A$5,IF(J9,'Box Library'!$A$6,IF(K9,'Box Library'!$A$7,IF(L9,'Box Library'!$A$8,"NO BOX FITS"))))))</f>
        <v/>
      </c>
      <c r="N9" s="15">
        <f>IF('Product Data'!A9="","",IF(H9,'Box Library'!$G$4,IF(I9,'Box Library'!$G$5,IF(J9,'Box Library'!$G$6,IF(K9,'Box Library'!$G$7,IF(L9,'Box Library'!$G$8,0))))))</f>
        <v/>
      </c>
      <c r="O9" s="16">
        <f>IF('Product Data'!A9="","",IF(M9="NO BOX FITS",0,G9/(IF(H9,'Box Library'!$H$4,IF(I9,'Box Library'!$H$5,IF(J9,'Box Library'!$H$6,IF(K9,'Box Library'!$H$7,'Box Library'!$H$8)))))))</f>
        <v/>
      </c>
      <c r="P9" s="6">
        <f>IF('Product Data'!A9="","",IF(M9="NO BOX FITS","REVIEW - NO STANDARD BOX FITS","OK"))</f>
        <v/>
      </c>
    </row>
    <row r="10">
      <c r="A10" s="13">
        <f>IF('Product Data'!A10="","",'Product Data'!A10)</f>
        <v/>
      </c>
      <c r="B10" s="13">
        <f>IF('Product Data'!A10="","",'Product Data'!B10)</f>
        <v/>
      </c>
      <c r="C10" s="14">
        <f>IF('Product Data'!A10="","",'Product Data'!C10)</f>
        <v/>
      </c>
      <c r="D10" s="14">
        <f>IF('Product Data'!A10="","",'Product Data'!D10)</f>
        <v/>
      </c>
      <c r="E10" s="14">
        <f>IF('Product Data'!A10="","",'Product Data'!E10)</f>
        <v/>
      </c>
      <c r="F10" s="14">
        <f>IF('Product Data'!A10="","",'Product Data'!F10)</f>
        <v/>
      </c>
      <c r="G10" s="9">
        <f>IF('Product Data'!A10="","",C10*D10*E10)</f>
        <v/>
      </c>
      <c r="H10" s="13">
        <f>IF('Product Data'!A10="","",AND($C10&lt;='Box Library'!$C$4,$D10&lt;='Box Library'!$D$4,$E10&lt;='Box Library'!$E$4,$F10&lt;='Box Library'!$F$4))</f>
        <v/>
      </c>
      <c r="I10" s="13">
        <f>IF('Product Data'!A10="","",AND($C10&lt;='Box Library'!$C$5,$D10&lt;='Box Library'!$D$5,$E10&lt;='Box Library'!$E$5,$F10&lt;='Box Library'!$F$5))</f>
        <v/>
      </c>
      <c r="J10" s="13">
        <f>IF('Product Data'!A10="","",AND($C10&lt;='Box Library'!$C$6,$D10&lt;='Box Library'!$D$6,$E10&lt;='Box Library'!$E$6,$F10&lt;='Box Library'!$F$6))</f>
        <v/>
      </c>
      <c r="K10" s="13">
        <f>IF('Product Data'!A10="","",AND($C10&lt;='Box Library'!$C$7,$D10&lt;='Box Library'!$D$7,$E10&lt;='Box Library'!$E$7,$F10&lt;='Box Library'!$F$7))</f>
        <v/>
      </c>
      <c r="L10" s="13">
        <f>IF('Product Data'!A10="","",AND($C10&lt;='Box Library'!$C$8,$D10&lt;='Box Library'!$D$8,$E10&lt;='Box Library'!$E$8,$F10&lt;='Box Library'!$F$8))</f>
        <v/>
      </c>
      <c r="M10" s="13">
        <f>IF('Product Data'!A10="","",IF(H10,'Box Library'!$A$4,IF(I10,'Box Library'!$A$5,IF(J10,'Box Library'!$A$6,IF(K10,'Box Library'!$A$7,IF(L10,'Box Library'!$A$8,"NO BOX FITS"))))))</f>
        <v/>
      </c>
      <c r="N10" s="15">
        <f>IF('Product Data'!A10="","",IF(H10,'Box Library'!$G$4,IF(I10,'Box Library'!$G$5,IF(J10,'Box Library'!$G$6,IF(K10,'Box Library'!$G$7,IF(L10,'Box Library'!$G$8,0))))))</f>
        <v/>
      </c>
      <c r="O10" s="16">
        <f>IF('Product Data'!A10="","",IF(M10="NO BOX FITS",0,G10/(IF(H10,'Box Library'!$H$4,IF(I10,'Box Library'!$H$5,IF(J10,'Box Library'!$H$6,IF(K10,'Box Library'!$H$7,'Box Library'!$H$8)))))))</f>
        <v/>
      </c>
      <c r="P10" s="6">
        <f>IF('Product Data'!A10="","",IF(M10="NO BOX FITS","REVIEW - NO STANDARD BOX FITS","OK"))</f>
        <v/>
      </c>
    </row>
    <row r="11">
      <c r="A11" s="13">
        <f>IF('Product Data'!A11="","",'Product Data'!A11)</f>
        <v/>
      </c>
      <c r="B11" s="13">
        <f>IF('Product Data'!A11="","",'Product Data'!B11)</f>
        <v/>
      </c>
      <c r="C11" s="14">
        <f>IF('Product Data'!A11="","",'Product Data'!C11)</f>
        <v/>
      </c>
      <c r="D11" s="14">
        <f>IF('Product Data'!A11="","",'Product Data'!D11)</f>
        <v/>
      </c>
      <c r="E11" s="14">
        <f>IF('Product Data'!A11="","",'Product Data'!E11)</f>
        <v/>
      </c>
      <c r="F11" s="14">
        <f>IF('Product Data'!A11="","",'Product Data'!F11)</f>
        <v/>
      </c>
      <c r="G11" s="9">
        <f>IF('Product Data'!A11="","",C11*D11*E11)</f>
        <v/>
      </c>
      <c r="H11" s="13">
        <f>IF('Product Data'!A11="","",AND($C11&lt;='Box Library'!$C$4,$D11&lt;='Box Library'!$D$4,$E11&lt;='Box Library'!$E$4,$F11&lt;='Box Library'!$F$4))</f>
        <v/>
      </c>
      <c r="I11" s="13">
        <f>IF('Product Data'!A11="","",AND($C11&lt;='Box Library'!$C$5,$D11&lt;='Box Library'!$D$5,$E11&lt;='Box Library'!$E$5,$F11&lt;='Box Library'!$F$5))</f>
        <v/>
      </c>
      <c r="J11" s="13">
        <f>IF('Product Data'!A11="","",AND($C11&lt;='Box Library'!$C$6,$D11&lt;='Box Library'!$D$6,$E11&lt;='Box Library'!$E$6,$F11&lt;='Box Library'!$F$6))</f>
        <v/>
      </c>
      <c r="K11" s="13">
        <f>IF('Product Data'!A11="","",AND($C11&lt;='Box Library'!$C$7,$D11&lt;='Box Library'!$D$7,$E11&lt;='Box Library'!$E$7,$F11&lt;='Box Library'!$F$7))</f>
        <v/>
      </c>
      <c r="L11" s="13">
        <f>IF('Product Data'!A11="","",AND($C11&lt;='Box Library'!$C$8,$D11&lt;='Box Library'!$D$8,$E11&lt;='Box Library'!$E$8,$F11&lt;='Box Library'!$F$8))</f>
        <v/>
      </c>
      <c r="M11" s="13">
        <f>IF('Product Data'!A11="","",IF(H11,'Box Library'!$A$4,IF(I11,'Box Library'!$A$5,IF(J11,'Box Library'!$A$6,IF(K11,'Box Library'!$A$7,IF(L11,'Box Library'!$A$8,"NO BOX FITS"))))))</f>
        <v/>
      </c>
      <c r="N11" s="15">
        <f>IF('Product Data'!A11="","",IF(H11,'Box Library'!$G$4,IF(I11,'Box Library'!$G$5,IF(J11,'Box Library'!$G$6,IF(K11,'Box Library'!$G$7,IF(L11,'Box Library'!$G$8,0))))))</f>
        <v/>
      </c>
      <c r="O11" s="16">
        <f>IF('Product Data'!A11="","",IF(M11="NO BOX FITS",0,G11/(IF(H11,'Box Library'!$H$4,IF(I11,'Box Library'!$H$5,IF(J11,'Box Library'!$H$6,IF(K11,'Box Library'!$H$7,'Box Library'!$H$8)))))))</f>
        <v/>
      </c>
      <c r="P11" s="6">
        <f>IF('Product Data'!A11="","",IF(M11="NO BOX FITS","REVIEW - NO STANDARD BOX FITS","OK"))</f>
        <v/>
      </c>
    </row>
    <row r="12">
      <c r="A12" s="13">
        <f>IF('Product Data'!A12="","",'Product Data'!A12)</f>
        <v/>
      </c>
      <c r="B12" s="13">
        <f>IF('Product Data'!A12="","",'Product Data'!B12)</f>
        <v/>
      </c>
      <c r="C12" s="14">
        <f>IF('Product Data'!A12="","",'Product Data'!C12)</f>
        <v/>
      </c>
      <c r="D12" s="14">
        <f>IF('Product Data'!A12="","",'Product Data'!D12)</f>
        <v/>
      </c>
      <c r="E12" s="14">
        <f>IF('Product Data'!A12="","",'Product Data'!E12)</f>
        <v/>
      </c>
      <c r="F12" s="14">
        <f>IF('Product Data'!A12="","",'Product Data'!F12)</f>
        <v/>
      </c>
      <c r="G12" s="9">
        <f>IF('Product Data'!A12="","",C12*D12*E12)</f>
        <v/>
      </c>
      <c r="H12" s="13">
        <f>IF('Product Data'!A12="","",AND($C12&lt;='Box Library'!$C$4,$D12&lt;='Box Library'!$D$4,$E12&lt;='Box Library'!$E$4,$F12&lt;='Box Library'!$F$4))</f>
        <v/>
      </c>
      <c r="I12" s="13">
        <f>IF('Product Data'!A12="","",AND($C12&lt;='Box Library'!$C$5,$D12&lt;='Box Library'!$D$5,$E12&lt;='Box Library'!$E$5,$F12&lt;='Box Library'!$F$5))</f>
        <v/>
      </c>
      <c r="J12" s="13">
        <f>IF('Product Data'!A12="","",AND($C12&lt;='Box Library'!$C$6,$D12&lt;='Box Library'!$D$6,$E12&lt;='Box Library'!$E$6,$F12&lt;='Box Library'!$F$6))</f>
        <v/>
      </c>
      <c r="K12" s="13">
        <f>IF('Product Data'!A12="","",AND($C12&lt;='Box Library'!$C$7,$D12&lt;='Box Library'!$D$7,$E12&lt;='Box Library'!$E$7,$F12&lt;='Box Library'!$F$7))</f>
        <v/>
      </c>
      <c r="L12" s="13">
        <f>IF('Product Data'!A12="","",AND($C12&lt;='Box Library'!$C$8,$D12&lt;='Box Library'!$D$8,$E12&lt;='Box Library'!$E$8,$F12&lt;='Box Library'!$F$8))</f>
        <v/>
      </c>
      <c r="M12" s="13">
        <f>IF('Product Data'!A12="","",IF(H12,'Box Library'!$A$4,IF(I12,'Box Library'!$A$5,IF(J12,'Box Library'!$A$6,IF(K12,'Box Library'!$A$7,IF(L12,'Box Library'!$A$8,"NO BOX FITS"))))))</f>
        <v/>
      </c>
      <c r="N12" s="15">
        <f>IF('Product Data'!A12="","",IF(H12,'Box Library'!$G$4,IF(I12,'Box Library'!$G$5,IF(J12,'Box Library'!$G$6,IF(K12,'Box Library'!$G$7,IF(L12,'Box Library'!$G$8,0))))))</f>
        <v/>
      </c>
      <c r="O12" s="16">
        <f>IF('Product Data'!A12="","",IF(M12="NO BOX FITS",0,G12/(IF(H12,'Box Library'!$H$4,IF(I12,'Box Library'!$H$5,IF(J12,'Box Library'!$H$6,IF(K12,'Box Library'!$H$7,'Box Library'!$H$8)))))))</f>
        <v/>
      </c>
      <c r="P12" s="6">
        <f>IF('Product Data'!A12="","",IF(M12="NO BOX FITS","REVIEW - NO STANDARD BOX FITS","OK"))</f>
        <v/>
      </c>
    </row>
    <row r="13">
      <c r="A13" s="13">
        <f>IF('Product Data'!A13="","",'Product Data'!A13)</f>
        <v/>
      </c>
      <c r="B13" s="13">
        <f>IF('Product Data'!A13="","",'Product Data'!B13)</f>
        <v/>
      </c>
      <c r="C13" s="14">
        <f>IF('Product Data'!A13="","",'Product Data'!C13)</f>
        <v/>
      </c>
      <c r="D13" s="14">
        <f>IF('Product Data'!A13="","",'Product Data'!D13)</f>
        <v/>
      </c>
      <c r="E13" s="14">
        <f>IF('Product Data'!A13="","",'Product Data'!E13)</f>
        <v/>
      </c>
      <c r="F13" s="14">
        <f>IF('Product Data'!A13="","",'Product Data'!F13)</f>
        <v/>
      </c>
      <c r="G13" s="9">
        <f>IF('Product Data'!A13="","",C13*D13*E13)</f>
        <v/>
      </c>
      <c r="H13" s="13">
        <f>IF('Product Data'!A13="","",AND($C13&lt;='Box Library'!$C$4,$D13&lt;='Box Library'!$D$4,$E13&lt;='Box Library'!$E$4,$F13&lt;='Box Library'!$F$4))</f>
        <v/>
      </c>
      <c r="I13" s="13">
        <f>IF('Product Data'!A13="","",AND($C13&lt;='Box Library'!$C$5,$D13&lt;='Box Library'!$D$5,$E13&lt;='Box Library'!$E$5,$F13&lt;='Box Library'!$F$5))</f>
        <v/>
      </c>
      <c r="J13" s="13">
        <f>IF('Product Data'!A13="","",AND($C13&lt;='Box Library'!$C$6,$D13&lt;='Box Library'!$D$6,$E13&lt;='Box Library'!$E$6,$F13&lt;='Box Library'!$F$6))</f>
        <v/>
      </c>
      <c r="K13" s="13">
        <f>IF('Product Data'!A13="","",AND($C13&lt;='Box Library'!$C$7,$D13&lt;='Box Library'!$D$7,$E13&lt;='Box Library'!$E$7,$F13&lt;='Box Library'!$F$7))</f>
        <v/>
      </c>
      <c r="L13" s="13">
        <f>IF('Product Data'!A13="","",AND($C13&lt;='Box Library'!$C$8,$D13&lt;='Box Library'!$D$8,$E13&lt;='Box Library'!$E$8,$F13&lt;='Box Library'!$F$8))</f>
        <v/>
      </c>
      <c r="M13" s="13">
        <f>IF('Product Data'!A13="","",IF(H13,'Box Library'!$A$4,IF(I13,'Box Library'!$A$5,IF(J13,'Box Library'!$A$6,IF(K13,'Box Library'!$A$7,IF(L13,'Box Library'!$A$8,"NO BOX FITS"))))))</f>
        <v/>
      </c>
      <c r="N13" s="15">
        <f>IF('Product Data'!A13="","",IF(H13,'Box Library'!$G$4,IF(I13,'Box Library'!$G$5,IF(J13,'Box Library'!$G$6,IF(K13,'Box Library'!$G$7,IF(L13,'Box Library'!$G$8,0))))))</f>
        <v/>
      </c>
      <c r="O13" s="16">
        <f>IF('Product Data'!A13="","",IF(M13="NO BOX FITS",0,G13/(IF(H13,'Box Library'!$H$4,IF(I13,'Box Library'!$H$5,IF(J13,'Box Library'!$H$6,IF(K13,'Box Library'!$H$7,'Box Library'!$H$8)))))))</f>
        <v/>
      </c>
      <c r="P13" s="6">
        <f>IF('Product Data'!A13="","",IF(M13="NO BOX FITS","REVIEW - NO STANDARD BOX FITS","OK"))</f>
        <v/>
      </c>
    </row>
    <row r="14">
      <c r="A14" s="13">
        <f>IF('Product Data'!A14="","",'Product Data'!A14)</f>
        <v/>
      </c>
      <c r="B14" s="13">
        <f>IF('Product Data'!A14="","",'Product Data'!B14)</f>
        <v/>
      </c>
      <c r="C14" s="14">
        <f>IF('Product Data'!A14="","",'Product Data'!C14)</f>
        <v/>
      </c>
      <c r="D14" s="14">
        <f>IF('Product Data'!A14="","",'Product Data'!D14)</f>
        <v/>
      </c>
      <c r="E14" s="14">
        <f>IF('Product Data'!A14="","",'Product Data'!E14)</f>
        <v/>
      </c>
      <c r="F14" s="14">
        <f>IF('Product Data'!A14="","",'Product Data'!F14)</f>
        <v/>
      </c>
      <c r="G14" s="9">
        <f>IF('Product Data'!A14="","",C14*D14*E14)</f>
        <v/>
      </c>
      <c r="H14" s="13">
        <f>IF('Product Data'!A14="","",AND($C14&lt;='Box Library'!$C$4,$D14&lt;='Box Library'!$D$4,$E14&lt;='Box Library'!$E$4,$F14&lt;='Box Library'!$F$4))</f>
        <v/>
      </c>
      <c r="I14" s="13">
        <f>IF('Product Data'!A14="","",AND($C14&lt;='Box Library'!$C$5,$D14&lt;='Box Library'!$D$5,$E14&lt;='Box Library'!$E$5,$F14&lt;='Box Library'!$F$5))</f>
        <v/>
      </c>
      <c r="J14" s="13">
        <f>IF('Product Data'!A14="","",AND($C14&lt;='Box Library'!$C$6,$D14&lt;='Box Library'!$D$6,$E14&lt;='Box Library'!$E$6,$F14&lt;='Box Library'!$F$6))</f>
        <v/>
      </c>
      <c r="K14" s="13">
        <f>IF('Product Data'!A14="","",AND($C14&lt;='Box Library'!$C$7,$D14&lt;='Box Library'!$D$7,$E14&lt;='Box Library'!$E$7,$F14&lt;='Box Library'!$F$7))</f>
        <v/>
      </c>
      <c r="L14" s="13">
        <f>IF('Product Data'!A14="","",AND($C14&lt;='Box Library'!$C$8,$D14&lt;='Box Library'!$D$8,$E14&lt;='Box Library'!$E$8,$F14&lt;='Box Library'!$F$8))</f>
        <v/>
      </c>
      <c r="M14" s="13">
        <f>IF('Product Data'!A14="","",IF(H14,'Box Library'!$A$4,IF(I14,'Box Library'!$A$5,IF(J14,'Box Library'!$A$6,IF(K14,'Box Library'!$A$7,IF(L14,'Box Library'!$A$8,"NO BOX FITS"))))))</f>
        <v/>
      </c>
      <c r="N14" s="15">
        <f>IF('Product Data'!A14="","",IF(H14,'Box Library'!$G$4,IF(I14,'Box Library'!$G$5,IF(J14,'Box Library'!$G$6,IF(K14,'Box Library'!$G$7,IF(L14,'Box Library'!$G$8,0))))))</f>
        <v/>
      </c>
      <c r="O14" s="16">
        <f>IF('Product Data'!A14="","",IF(M14="NO BOX FITS",0,G14/(IF(H14,'Box Library'!$H$4,IF(I14,'Box Library'!$H$5,IF(J14,'Box Library'!$H$6,IF(K14,'Box Library'!$H$7,'Box Library'!$H$8)))))))</f>
        <v/>
      </c>
      <c r="P14" s="6">
        <f>IF('Product Data'!A14="","",IF(M14="NO BOX FITS","REVIEW - NO STANDARD BOX FITS","OK"))</f>
        <v/>
      </c>
    </row>
    <row r="15">
      <c r="A15" s="13">
        <f>IF('Product Data'!A15="","",'Product Data'!A15)</f>
        <v/>
      </c>
      <c r="B15" s="13">
        <f>IF('Product Data'!A15="","",'Product Data'!B15)</f>
        <v/>
      </c>
      <c r="C15" s="14">
        <f>IF('Product Data'!A15="","",'Product Data'!C15)</f>
        <v/>
      </c>
      <c r="D15" s="14">
        <f>IF('Product Data'!A15="","",'Product Data'!D15)</f>
        <v/>
      </c>
      <c r="E15" s="14">
        <f>IF('Product Data'!A15="","",'Product Data'!E15)</f>
        <v/>
      </c>
      <c r="F15" s="14">
        <f>IF('Product Data'!A15="","",'Product Data'!F15)</f>
        <v/>
      </c>
      <c r="G15" s="9">
        <f>IF('Product Data'!A15="","",C15*D15*E15)</f>
        <v/>
      </c>
      <c r="H15" s="13">
        <f>IF('Product Data'!A15="","",AND($C15&lt;='Box Library'!$C$4,$D15&lt;='Box Library'!$D$4,$E15&lt;='Box Library'!$E$4,$F15&lt;='Box Library'!$F$4))</f>
        <v/>
      </c>
      <c r="I15" s="13">
        <f>IF('Product Data'!A15="","",AND($C15&lt;='Box Library'!$C$5,$D15&lt;='Box Library'!$D$5,$E15&lt;='Box Library'!$E$5,$F15&lt;='Box Library'!$F$5))</f>
        <v/>
      </c>
      <c r="J15" s="13">
        <f>IF('Product Data'!A15="","",AND($C15&lt;='Box Library'!$C$6,$D15&lt;='Box Library'!$D$6,$E15&lt;='Box Library'!$E$6,$F15&lt;='Box Library'!$F$6))</f>
        <v/>
      </c>
      <c r="K15" s="13">
        <f>IF('Product Data'!A15="","",AND($C15&lt;='Box Library'!$C$7,$D15&lt;='Box Library'!$D$7,$E15&lt;='Box Library'!$E$7,$F15&lt;='Box Library'!$F$7))</f>
        <v/>
      </c>
      <c r="L15" s="13">
        <f>IF('Product Data'!A15="","",AND($C15&lt;='Box Library'!$C$8,$D15&lt;='Box Library'!$D$8,$E15&lt;='Box Library'!$E$8,$F15&lt;='Box Library'!$F$8))</f>
        <v/>
      </c>
      <c r="M15" s="13">
        <f>IF('Product Data'!A15="","",IF(H15,'Box Library'!$A$4,IF(I15,'Box Library'!$A$5,IF(J15,'Box Library'!$A$6,IF(K15,'Box Library'!$A$7,IF(L15,'Box Library'!$A$8,"NO BOX FITS"))))))</f>
        <v/>
      </c>
      <c r="N15" s="15">
        <f>IF('Product Data'!A15="","",IF(H15,'Box Library'!$G$4,IF(I15,'Box Library'!$G$5,IF(J15,'Box Library'!$G$6,IF(K15,'Box Library'!$G$7,IF(L15,'Box Library'!$G$8,0))))))</f>
        <v/>
      </c>
      <c r="O15" s="16">
        <f>IF('Product Data'!A15="","",IF(M15="NO BOX FITS",0,G15/(IF(H15,'Box Library'!$H$4,IF(I15,'Box Library'!$H$5,IF(J15,'Box Library'!$H$6,IF(K15,'Box Library'!$H$7,'Box Library'!$H$8)))))))</f>
        <v/>
      </c>
      <c r="P15" s="6">
        <f>IF('Product Data'!A15="","",IF(M15="NO BOX FITS","REVIEW - NO STANDARD BOX FITS","OK"))</f>
        <v/>
      </c>
    </row>
    <row r="16">
      <c r="A16" s="13">
        <f>IF('Product Data'!A16="","",'Product Data'!A16)</f>
        <v/>
      </c>
      <c r="B16" s="13">
        <f>IF('Product Data'!A16="","",'Product Data'!B16)</f>
        <v/>
      </c>
      <c r="C16" s="14">
        <f>IF('Product Data'!A16="","",'Product Data'!C16)</f>
        <v/>
      </c>
      <c r="D16" s="14">
        <f>IF('Product Data'!A16="","",'Product Data'!D16)</f>
        <v/>
      </c>
      <c r="E16" s="14">
        <f>IF('Product Data'!A16="","",'Product Data'!E16)</f>
        <v/>
      </c>
      <c r="F16" s="14">
        <f>IF('Product Data'!A16="","",'Product Data'!F16)</f>
        <v/>
      </c>
      <c r="G16" s="9">
        <f>IF('Product Data'!A16="","",C16*D16*E16)</f>
        <v/>
      </c>
      <c r="H16" s="13">
        <f>IF('Product Data'!A16="","",AND($C16&lt;='Box Library'!$C$4,$D16&lt;='Box Library'!$D$4,$E16&lt;='Box Library'!$E$4,$F16&lt;='Box Library'!$F$4))</f>
        <v/>
      </c>
      <c r="I16" s="13">
        <f>IF('Product Data'!A16="","",AND($C16&lt;='Box Library'!$C$5,$D16&lt;='Box Library'!$D$5,$E16&lt;='Box Library'!$E$5,$F16&lt;='Box Library'!$F$5))</f>
        <v/>
      </c>
      <c r="J16" s="13">
        <f>IF('Product Data'!A16="","",AND($C16&lt;='Box Library'!$C$6,$D16&lt;='Box Library'!$D$6,$E16&lt;='Box Library'!$E$6,$F16&lt;='Box Library'!$F$6))</f>
        <v/>
      </c>
      <c r="K16" s="13">
        <f>IF('Product Data'!A16="","",AND($C16&lt;='Box Library'!$C$7,$D16&lt;='Box Library'!$D$7,$E16&lt;='Box Library'!$E$7,$F16&lt;='Box Library'!$F$7))</f>
        <v/>
      </c>
      <c r="L16" s="13">
        <f>IF('Product Data'!A16="","",AND($C16&lt;='Box Library'!$C$8,$D16&lt;='Box Library'!$D$8,$E16&lt;='Box Library'!$E$8,$F16&lt;='Box Library'!$F$8))</f>
        <v/>
      </c>
      <c r="M16" s="13">
        <f>IF('Product Data'!A16="","",IF(H16,'Box Library'!$A$4,IF(I16,'Box Library'!$A$5,IF(J16,'Box Library'!$A$6,IF(K16,'Box Library'!$A$7,IF(L16,'Box Library'!$A$8,"NO BOX FITS"))))))</f>
        <v/>
      </c>
      <c r="N16" s="15">
        <f>IF('Product Data'!A16="","",IF(H16,'Box Library'!$G$4,IF(I16,'Box Library'!$G$5,IF(J16,'Box Library'!$G$6,IF(K16,'Box Library'!$G$7,IF(L16,'Box Library'!$G$8,0))))))</f>
        <v/>
      </c>
      <c r="O16" s="16">
        <f>IF('Product Data'!A16="","",IF(M16="NO BOX FITS",0,G16/(IF(H16,'Box Library'!$H$4,IF(I16,'Box Library'!$H$5,IF(J16,'Box Library'!$H$6,IF(K16,'Box Library'!$H$7,'Box Library'!$H$8)))))))</f>
        <v/>
      </c>
      <c r="P16" s="6">
        <f>IF('Product Data'!A16="","",IF(M16="NO BOX FITS","REVIEW - NO STANDARD BOX FITS","OK"))</f>
        <v/>
      </c>
    </row>
    <row r="17">
      <c r="A17" s="13">
        <f>IF('Product Data'!A17="","",'Product Data'!A17)</f>
        <v/>
      </c>
      <c r="B17" s="13">
        <f>IF('Product Data'!A17="","",'Product Data'!B17)</f>
        <v/>
      </c>
      <c r="C17" s="14">
        <f>IF('Product Data'!A17="","",'Product Data'!C17)</f>
        <v/>
      </c>
      <c r="D17" s="14">
        <f>IF('Product Data'!A17="","",'Product Data'!D17)</f>
        <v/>
      </c>
      <c r="E17" s="14">
        <f>IF('Product Data'!A17="","",'Product Data'!E17)</f>
        <v/>
      </c>
      <c r="F17" s="14">
        <f>IF('Product Data'!A17="","",'Product Data'!F17)</f>
        <v/>
      </c>
      <c r="G17" s="9">
        <f>IF('Product Data'!A17="","",C17*D17*E17)</f>
        <v/>
      </c>
      <c r="H17" s="13">
        <f>IF('Product Data'!A17="","",AND($C17&lt;='Box Library'!$C$4,$D17&lt;='Box Library'!$D$4,$E17&lt;='Box Library'!$E$4,$F17&lt;='Box Library'!$F$4))</f>
        <v/>
      </c>
      <c r="I17" s="13">
        <f>IF('Product Data'!A17="","",AND($C17&lt;='Box Library'!$C$5,$D17&lt;='Box Library'!$D$5,$E17&lt;='Box Library'!$E$5,$F17&lt;='Box Library'!$F$5))</f>
        <v/>
      </c>
      <c r="J17" s="13">
        <f>IF('Product Data'!A17="","",AND($C17&lt;='Box Library'!$C$6,$D17&lt;='Box Library'!$D$6,$E17&lt;='Box Library'!$E$6,$F17&lt;='Box Library'!$F$6))</f>
        <v/>
      </c>
      <c r="K17" s="13">
        <f>IF('Product Data'!A17="","",AND($C17&lt;='Box Library'!$C$7,$D17&lt;='Box Library'!$D$7,$E17&lt;='Box Library'!$E$7,$F17&lt;='Box Library'!$F$7))</f>
        <v/>
      </c>
      <c r="L17" s="13">
        <f>IF('Product Data'!A17="","",AND($C17&lt;='Box Library'!$C$8,$D17&lt;='Box Library'!$D$8,$E17&lt;='Box Library'!$E$8,$F17&lt;='Box Library'!$F$8))</f>
        <v/>
      </c>
      <c r="M17" s="13">
        <f>IF('Product Data'!A17="","",IF(H17,'Box Library'!$A$4,IF(I17,'Box Library'!$A$5,IF(J17,'Box Library'!$A$6,IF(K17,'Box Library'!$A$7,IF(L17,'Box Library'!$A$8,"NO BOX FITS"))))))</f>
        <v/>
      </c>
      <c r="N17" s="15">
        <f>IF('Product Data'!A17="","",IF(H17,'Box Library'!$G$4,IF(I17,'Box Library'!$G$5,IF(J17,'Box Library'!$G$6,IF(K17,'Box Library'!$G$7,IF(L17,'Box Library'!$G$8,0))))))</f>
        <v/>
      </c>
      <c r="O17" s="16">
        <f>IF('Product Data'!A17="","",IF(M17="NO BOX FITS",0,G17/(IF(H17,'Box Library'!$H$4,IF(I17,'Box Library'!$H$5,IF(J17,'Box Library'!$H$6,IF(K17,'Box Library'!$H$7,'Box Library'!$H$8)))))))</f>
        <v/>
      </c>
      <c r="P17" s="6">
        <f>IF('Product Data'!A17="","",IF(M17="NO BOX FITS","REVIEW - NO STANDARD BOX FITS","OK"))</f>
        <v/>
      </c>
    </row>
    <row r="18">
      <c r="A18" s="13">
        <f>IF('Product Data'!A18="","",'Product Data'!A18)</f>
        <v/>
      </c>
      <c r="B18" s="13">
        <f>IF('Product Data'!A18="","",'Product Data'!B18)</f>
        <v/>
      </c>
      <c r="C18" s="14">
        <f>IF('Product Data'!A18="","",'Product Data'!C18)</f>
        <v/>
      </c>
      <c r="D18" s="14">
        <f>IF('Product Data'!A18="","",'Product Data'!D18)</f>
        <v/>
      </c>
      <c r="E18" s="14">
        <f>IF('Product Data'!A18="","",'Product Data'!E18)</f>
        <v/>
      </c>
      <c r="F18" s="14">
        <f>IF('Product Data'!A18="","",'Product Data'!F18)</f>
        <v/>
      </c>
      <c r="G18" s="9">
        <f>IF('Product Data'!A18="","",C18*D18*E18)</f>
        <v/>
      </c>
      <c r="H18" s="13">
        <f>IF('Product Data'!A18="","",AND($C18&lt;='Box Library'!$C$4,$D18&lt;='Box Library'!$D$4,$E18&lt;='Box Library'!$E$4,$F18&lt;='Box Library'!$F$4))</f>
        <v/>
      </c>
      <c r="I18" s="13">
        <f>IF('Product Data'!A18="","",AND($C18&lt;='Box Library'!$C$5,$D18&lt;='Box Library'!$D$5,$E18&lt;='Box Library'!$E$5,$F18&lt;='Box Library'!$F$5))</f>
        <v/>
      </c>
      <c r="J18" s="13">
        <f>IF('Product Data'!A18="","",AND($C18&lt;='Box Library'!$C$6,$D18&lt;='Box Library'!$D$6,$E18&lt;='Box Library'!$E$6,$F18&lt;='Box Library'!$F$6))</f>
        <v/>
      </c>
      <c r="K18" s="13">
        <f>IF('Product Data'!A18="","",AND($C18&lt;='Box Library'!$C$7,$D18&lt;='Box Library'!$D$7,$E18&lt;='Box Library'!$E$7,$F18&lt;='Box Library'!$F$7))</f>
        <v/>
      </c>
      <c r="L18" s="13">
        <f>IF('Product Data'!A18="","",AND($C18&lt;='Box Library'!$C$8,$D18&lt;='Box Library'!$D$8,$E18&lt;='Box Library'!$E$8,$F18&lt;='Box Library'!$F$8))</f>
        <v/>
      </c>
      <c r="M18" s="13">
        <f>IF('Product Data'!A18="","",IF(H18,'Box Library'!$A$4,IF(I18,'Box Library'!$A$5,IF(J18,'Box Library'!$A$6,IF(K18,'Box Library'!$A$7,IF(L18,'Box Library'!$A$8,"NO BOX FITS"))))))</f>
        <v/>
      </c>
      <c r="N18" s="15">
        <f>IF('Product Data'!A18="","",IF(H18,'Box Library'!$G$4,IF(I18,'Box Library'!$G$5,IF(J18,'Box Library'!$G$6,IF(K18,'Box Library'!$G$7,IF(L18,'Box Library'!$G$8,0))))))</f>
        <v/>
      </c>
      <c r="O18" s="16">
        <f>IF('Product Data'!A18="","",IF(M18="NO BOX FITS",0,G18/(IF(H18,'Box Library'!$H$4,IF(I18,'Box Library'!$H$5,IF(J18,'Box Library'!$H$6,IF(K18,'Box Library'!$H$7,'Box Library'!$H$8)))))))</f>
        <v/>
      </c>
      <c r="P18" s="6">
        <f>IF('Product Data'!A18="","",IF(M18="NO BOX FITS","REVIEW - NO STANDARD BOX FITS","OK"))</f>
        <v/>
      </c>
    </row>
    <row r="19">
      <c r="A19" s="13">
        <f>IF('Product Data'!A19="","",'Product Data'!A19)</f>
        <v/>
      </c>
      <c r="B19" s="13">
        <f>IF('Product Data'!A19="","",'Product Data'!B19)</f>
        <v/>
      </c>
      <c r="C19" s="14">
        <f>IF('Product Data'!A19="","",'Product Data'!C19)</f>
        <v/>
      </c>
      <c r="D19" s="14">
        <f>IF('Product Data'!A19="","",'Product Data'!D19)</f>
        <v/>
      </c>
      <c r="E19" s="14">
        <f>IF('Product Data'!A19="","",'Product Data'!E19)</f>
        <v/>
      </c>
      <c r="F19" s="14">
        <f>IF('Product Data'!A19="","",'Product Data'!F19)</f>
        <v/>
      </c>
      <c r="G19" s="9">
        <f>IF('Product Data'!A19="","",C19*D19*E19)</f>
        <v/>
      </c>
      <c r="H19" s="13">
        <f>IF('Product Data'!A19="","",AND($C19&lt;='Box Library'!$C$4,$D19&lt;='Box Library'!$D$4,$E19&lt;='Box Library'!$E$4,$F19&lt;='Box Library'!$F$4))</f>
        <v/>
      </c>
      <c r="I19" s="13">
        <f>IF('Product Data'!A19="","",AND($C19&lt;='Box Library'!$C$5,$D19&lt;='Box Library'!$D$5,$E19&lt;='Box Library'!$E$5,$F19&lt;='Box Library'!$F$5))</f>
        <v/>
      </c>
      <c r="J19" s="13">
        <f>IF('Product Data'!A19="","",AND($C19&lt;='Box Library'!$C$6,$D19&lt;='Box Library'!$D$6,$E19&lt;='Box Library'!$E$6,$F19&lt;='Box Library'!$F$6))</f>
        <v/>
      </c>
      <c r="K19" s="13">
        <f>IF('Product Data'!A19="","",AND($C19&lt;='Box Library'!$C$7,$D19&lt;='Box Library'!$D$7,$E19&lt;='Box Library'!$E$7,$F19&lt;='Box Library'!$F$7))</f>
        <v/>
      </c>
      <c r="L19" s="13">
        <f>IF('Product Data'!A19="","",AND($C19&lt;='Box Library'!$C$8,$D19&lt;='Box Library'!$D$8,$E19&lt;='Box Library'!$E$8,$F19&lt;='Box Library'!$F$8))</f>
        <v/>
      </c>
      <c r="M19" s="13">
        <f>IF('Product Data'!A19="","",IF(H19,'Box Library'!$A$4,IF(I19,'Box Library'!$A$5,IF(J19,'Box Library'!$A$6,IF(K19,'Box Library'!$A$7,IF(L19,'Box Library'!$A$8,"NO BOX FITS"))))))</f>
        <v/>
      </c>
      <c r="N19" s="15">
        <f>IF('Product Data'!A19="","",IF(H19,'Box Library'!$G$4,IF(I19,'Box Library'!$G$5,IF(J19,'Box Library'!$G$6,IF(K19,'Box Library'!$G$7,IF(L19,'Box Library'!$G$8,0))))))</f>
        <v/>
      </c>
      <c r="O19" s="16">
        <f>IF('Product Data'!A19="","",IF(M19="NO BOX FITS",0,G19/(IF(H19,'Box Library'!$H$4,IF(I19,'Box Library'!$H$5,IF(J19,'Box Library'!$H$6,IF(K19,'Box Library'!$H$7,'Box Library'!$H$8)))))))</f>
        <v/>
      </c>
      <c r="P19" s="6">
        <f>IF('Product Data'!A19="","",IF(M19="NO BOX FITS","REVIEW - NO STANDARD BOX FITS","OK"))</f>
        <v/>
      </c>
    </row>
    <row r="20">
      <c r="A20" s="13">
        <f>IF('Product Data'!A20="","",'Product Data'!A20)</f>
        <v/>
      </c>
      <c r="B20" s="13">
        <f>IF('Product Data'!A20="","",'Product Data'!B20)</f>
        <v/>
      </c>
      <c r="C20" s="14">
        <f>IF('Product Data'!A20="","",'Product Data'!C20)</f>
        <v/>
      </c>
      <c r="D20" s="14">
        <f>IF('Product Data'!A20="","",'Product Data'!D20)</f>
        <v/>
      </c>
      <c r="E20" s="14">
        <f>IF('Product Data'!A20="","",'Product Data'!E20)</f>
        <v/>
      </c>
      <c r="F20" s="14">
        <f>IF('Product Data'!A20="","",'Product Data'!F20)</f>
        <v/>
      </c>
      <c r="G20" s="9">
        <f>IF('Product Data'!A20="","",C20*D20*E20)</f>
        <v/>
      </c>
      <c r="H20" s="13">
        <f>IF('Product Data'!A20="","",AND($C20&lt;='Box Library'!$C$4,$D20&lt;='Box Library'!$D$4,$E20&lt;='Box Library'!$E$4,$F20&lt;='Box Library'!$F$4))</f>
        <v/>
      </c>
      <c r="I20" s="13">
        <f>IF('Product Data'!A20="","",AND($C20&lt;='Box Library'!$C$5,$D20&lt;='Box Library'!$D$5,$E20&lt;='Box Library'!$E$5,$F20&lt;='Box Library'!$F$5))</f>
        <v/>
      </c>
      <c r="J20" s="13">
        <f>IF('Product Data'!A20="","",AND($C20&lt;='Box Library'!$C$6,$D20&lt;='Box Library'!$D$6,$E20&lt;='Box Library'!$E$6,$F20&lt;='Box Library'!$F$6))</f>
        <v/>
      </c>
      <c r="K20" s="13">
        <f>IF('Product Data'!A20="","",AND($C20&lt;='Box Library'!$C$7,$D20&lt;='Box Library'!$D$7,$E20&lt;='Box Library'!$E$7,$F20&lt;='Box Library'!$F$7))</f>
        <v/>
      </c>
      <c r="L20" s="13">
        <f>IF('Product Data'!A20="","",AND($C20&lt;='Box Library'!$C$8,$D20&lt;='Box Library'!$D$8,$E20&lt;='Box Library'!$E$8,$F20&lt;='Box Library'!$F$8))</f>
        <v/>
      </c>
      <c r="M20" s="13">
        <f>IF('Product Data'!A20="","",IF(H20,'Box Library'!$A$4,IF(I20,'Box Library'!$A$5,IF(J20,'Box Library'!$A$6,IF(K20,'Box Library'!$A$7,IF(L20,'Box Library'!$A$8,"NO BOX FITS"))))))</f>
        <v/>
      </c>
      <c r="N20" s="15">
        <f>IF('Product Data'!A20="","",IF(H20,'Box Library'!$G$4,IF(I20,'Box Library'!$G$5,IF(J20,'Box Library'!$G$6,IF(K20,'Box Library'!$G$7,IF(L20,'Box Library'!$G$8,0))))))</f>
        <v/>
      </c>
      <c r="O20" s="16">
        <f>IF('Product Data'!A20="","",IF(M20="NO BOX FITS",0,G20/(IF(H20,'Box Library'!$H$4,IF(I20,'Box Library'!$H$5,IF(J20,'Box Library'!$H$6,IF(K20,'Box Library'!$H$7,'Box Library'!$H$8)))))))</f>
        <v/>
      </c>
      <c r="P20" s="6">
        <f>IF('Product Data'!A20="","",IF(M20="NO BOX FITS","REVIEW - NO STANDARD BOX FITS","OK"))</f>
        <v/>
      </c>
    </row>
    <row r="21">
      <c r="A21" s="13">
        <f>IF('Product Data'!A21="","",'Product Data'!A21)</f>
        <v/>
      </c>
      <c r="B21" s="13">
        <f>IF('Product Data'!A21="","",'Product Data'!B21)</f>
        <v/>
      </c>
      <c r="C21" s="14">
        <f>IF('Product Data'!A21="","",'Product Data'!C21)</f>
        <v/>
      </c>
      <c r="D21" s="14">
        <f>IF('Product Data'!A21="","",'Product Data'!D21)</f>
        <v/>
      </c>
      <c r="E21" s="14">
        <f>IF('Product Data'!A21="","",'Product Data'!E21)</f>
        <v/>
      </c>
      <c r="F21" s="14">
        <f>IF('Product Data'!A21="","",'Product Data'!F21)</f>
        <v/>
      </c>
      <c r="G21" s="9">
        <f>IF('Product Data'!A21="","",C21*D21*E21)</f>
        <v/>
      </c>
      <c r="H21" s="13">
        <f>IF('Product Data'!A21="","",AND($C21&lt;='Box Library'!$C$4,$D21&lt;='Box Library'!$D$4,$E21&lt;='Box Library'!$E$4,$F21&lt;='Box Library'!$F$4))</f>
        <v/>
      </c>
      <c r="I21" s="13">
        <f>IF('Product Data'!A21="","",AND($C21&lt;='Box Library'!$C$5,$D21&lt;='Box Library'!$D$5,$E21&lt;='Box Library'!$E$5,$F21&lt;='Box Library'!$F$5))</f>
        <v/>
      </c>
      <c r="J21" s="13">
        <f>IF('Product Data'!A21="","",AND($C21&lt;='Box Library'!$C$6,$D21&lt;='Box Library'!$D$6,$E21&lt;='Box Library'!$E$6,$F21&lt;='Box Library'!$F$6))</f>
        <v/>
      </c>
      <c r="K21" s="13">
        <f>IF('Product Data'!A21="","",AND($C21&lt;='Box Library'!$C$7,$D21&lt;='Box Library'!$D$7,$E21&lt;='Box Library'!$E$7,$F21&lt;='Box Library'!$F$7))</f>
        <v/>
      </c>
      <c r="L21" s="13">
        <f>IF('Product Data'!A21="","",AND($C21&lt;='Box Library'!$C$8,$D21&lt;='Box Library'!$D$8,$E21&lt;='Box Library'!$E$8,$F21&lt;='Box Library'!$F$8))</f>
        <v/>
      </c>
      <c r="M21" s="13">
        <f>IF('Product Data'!A21="","",IF(H21,'Box Library'!$A$4,IF(I21,'Box Library'!$A$5,IF(J21,'Box Library'!$A$6,IF(K21,'Box Library'!$A$7,IF(L21,'Box Library'!$A$8,"NO BOX FITS"))))))</f>
        <v/>
      </c>
      <c r="N21" s="15">
        <f>IF('Product Data'!A21="","",IF(H21,'Box Library'!$G$4,IF(I21,'Box Library'!$G$5,IF(J21,'Box Library'!$G$6,IF(K21,'Box Library'!$G$7,IF(L21,'Box Library'!$G$8,0))))))</f>
        <v/>
      </c>
      <c r="O21" s="16">
        <f>IF('Product Data'!A21="","",IF(M21="NO BOX FITS",0,G21/(IF(H21,'Box Library'!$H$4,IF(I21,'Box Library'!$H$5,IF(J21,'Box Library'!$H$6,IF(K21,'Box Library'!$H$7,'Box Library'!$H$8)))))))</f>
        <v/>
      </c>
      <c r="P21" s="6">
        <f>IF('Product Data'!A21="","",IF(M21="NO BOX FITS","REVIEW - NO STANDARD BOX FITS","OK"))</f>
        <v/>
      </c>
    </row>
    <row r="22">
      <c r="A22" s="13">
        <f>IF('Product Data'!A22="","",'Product Data'!A22)</f>
        <v/>
      </c>
      <c r="B22" s="13">
        <f>IF('Product Data'!A22="","",'Product Data'!B22)</f>
        <v/>
      </c>
      <c r="C22" s="14">
        <f>IF('Product Data'!A22="","",'Product Data'!C22)</f>
        <v/>
      </c>
      <c r="D22" s="14">
        <f>IF('Product Data'!A22="","",'Product Data'!D22)</f>
        <v/>
      </c>
      <c r="E22" s="14">
        <f>IF('Product Data'!A22="","",'Product Data'!E22)</f>
        <v/>
      </c>
      <c r="F22" s="14">
        <f>IF('Product Data'!A22="","",'Product Data'!F22)</f>
        <v/>
      </c>
      <c r="G22" s="9">
        <f>IF('Product Data'!A22="","",C22*D22*E22)</f>
        <v/>
      </c>
      <c r="H22" s="13">
        <f>IF('Product Data'!A22="","",AND($C22&lt;='Box Library'!$C$4,$D22&lt;='Box Library'!$D$4,$E22&lt;='Box Library'!$E$4,$F22&lt;='Box Library'!$F$4))</f>
        <v/>
      </c>
      <c r="I22" s="13">
        <f>IF('Product Data'!A22="","",AND($C22&lt;='Box Library'!$C$5,$D22&lt;='Box Library'!$D$5,$E22&lt;='Box Library'!$E$5,$F22&lt;='Box Library'!$F$5))</f>
        <v/>
      </c>
      <c r="J22" s="13">
        <f>IF('Product Data'!A22="","",AND($C22&lt;='Box Library'!$C$6,$D22&lt;='Box Library'!$D$6,$E22&lt;='Box Library'!$E$6,$F22&lt;='Box Library'!$F$6))</f>
        <v/>
      </c>
      <c r="K22" s="13">
        <f>IF('Product Data'!A22="","",AND($C22&lt;='Box Library'!$C$7,$D22&lt;='Box Library'!$D$7,$E22&lt;='Box Library'!$E$7,$F22&lt;='Box Library'!$F$7))</f>
        <v/>
      </c>
      <c r="L22" s="13">
        <f>IF('Product Data'!A22="","",AND($C22&lt;='Box Library'!$C$8,$D22&lt;='Box Library'!$D$8,$E22&lt;='Box Library'!$E$8,$F22&lt;='Box Library'!$F$8))</f>
        <v/>
      </c>
      <c r="M22" s="13">
        <f>IF('Product Data'!A22="","",IF(H22,'Box Library'!$A$4,IF(I22,'Box Library'!$A$5,IF(J22,'Box Library'!$A$6,IF(K22,'Box Library'!$A$7,IF(L22,'Box Library'!$A$8,"NO BOX FITS"))))))</f>
        <v/>
      </c>
      <c r="N22" s="15">
        <f>IF('Product Data'!A22="","",IF(H22,'Box Library'!$G$4,IF(I22,'Box Library'!$G$5,IF(J22,'Box Library'!$G$6,IF(K22,'Box Library'!$G$7,IF(L22,'Box Library'!$G$8,0))))))</f>
        <v/>
      </c>
      <c r="O22" s="16">
        <f>IF('Product Data'!A22="","",IF(M22="NO BOX FITS",0,G22/(IF(H22,'Box Library'!$H$4,IF(I22,'Box Library'!$H$5,IF(J22,'Box Library'!$H$6,IF(K22,'Box Library'!$H$7,'Box Library'!$H$8)))))))</f>
        <v/>
      </c>
      <c r="P22" s="6">
        <f>IF('Product Data'!A22="","",IF(M22="NO BOX FITS","REVIEW - NO STANDARD BOX FITS","OK"))</f>
        <v/>
      </c>
    </row>
    <row r="23">
      <c r="A23" s="13">
        <f>IF('Product Data'!A23="","",'Product Data'!A23)</f>
        <v/>
      </c>
      <c r="B23" s="13">
        <f>IF('Product Data'!A23="","",'Product Data'!B23)</f>
        <v/>
      </c>
      <c r="C23" s="14">
        <f>IF('Product Data'!A23="","",'Product Data'!C23)</f>
        <v/>
      </c>
      <c r="D23" s="14">
        <f>IF('Product Data'!A23="","",'Product Data'!D23)</f>
        <v/>
      </c>
      <c r="E23" s="14">
        <f>IF('Product Data'!A23="","",'Product Data'!E23)</f>
        <v/>
      </c>
      <c r="F23" s="14">
        <f>IF('Product Data'!A23="","",'Product Data'!F23)</f>
        <v/>
      </c>
      <c r="G23" s="9">
        <f>IF('Product Data'!A23="","",C23*D23*E23)</f>
        <v/>
      </c>
      <c r="H23" s="13">
        <f>IF('Product Data'!A23="","",AND($C23&lt;='Box Library'!$C$4,$D23&lt;='Box Library'!$D$4,$E23&lt;='Box Library'!$E$4,$F23&lt;='Box Library'!$F$4))</f>
        <v/>
      </c>
      <c r="I23" s="13">
        <f>IF('Product Data'!A23="","",AND($C23&lt;='Box Library'!$C$5,$D23&lt;='Box Library'!$D$5,$E23&lt;='Box Library'!$E$5,$F23&lt;='Box Library'!$F$5))</f>
        <v/>
      </c>
      <c r="J23" s="13">
        <f>IF('Product Data'!A23="","",AND($C23&lt;='Box Library'!$C$6,$D23&lt;='Box Library'!$D$6,$E23&lt;='Box Library'!$E$6,$F23&lt;='Box Library'!$F$6))</f>
        <v/>
      </c>
      <c r="K23" s="13">
        <f>IF('Product Data'!A23="","",AND($C23&lt;='Box Library'!$C$7,$D23&lt;='Box Library'!$D$7,$E23&lt;='Box Library'!$E$7,$F23&lt;='Box Library'!$F$7))</f>
        <v/>
      </c>
      <c r="L23" s="13">
        <f>IF('Product Data'!A23="","",AND($C23&lt;='Box Library'!$C$8,$D23&lt;='Box Library'!$D$8,$E23&lt;='Box Library'!$E$8,$F23&lt;='Box Library'!$F$8))</f>
        <v/>
      </c>
      <c r="M23" s="13">
        <f>IF('Product Data'!A23="","",IF(H23,'Box Library'!$A$4,IF(I23,'Box Library'!$A$5,IF(J23,'Box Library'!$A$6,IF(K23,'Box Library'!$A$7,IF(L23,'Box Library'!$A$8,"NO BOX FITS"))))))</f>
        <v/>
      </c>
      <c r="N23" s="15">
        <f>IF('Product Data'!A23="","",IF(H23,'Box Library'!$G$4,IF(I23,'Box Library'!$G$5,IF(J23,'Box Library'!$G$6,IF(K23,'Box Library'!$G$7,IF(L23,'Box Library'!$G$8,0))))))</f>
        <v/>
      </c>
      <c r="O23" s="16">
        <f>IF('Product Data'!A23="","",IF(M23="NO BOX FITS",0,G23/(IF(H23,'Box Library'!$H$4,IF(I23,'Box Library'!$H$5,IF(J23,'Box Library'!$H$6,IF(K23,'Box Library'!$H$7,'Box Library'!$H$8)))))))</f>
        <v/>
      </c>
      <c r="P23" s="6">
        <f>IF('Product Data'!A23="","",IF(M23="NO BOX FITS","REVIEW - NO STANDARD BOX FITS","OK"))</f>
        <v/>
      </c>
    </row>
    <row r="24">
      <c r="A24" s="13">
        <f>IF('Product Data'!A24="","",'Product Data'!A24)</f>
        <v/>
      </c>
      <c r="B24" s="13">
        <f>IF('Product Data'!A24="","",'Product Data'!B24)</f>
        <v/>
      </c>
      <c r="C24" s="14">
        <f>IF('Product Data'!A24="","",'Product Data'!C24)</f>
        <v/>
      </c>
      <c r="D24" s="14">
        <f>IF('Product Data'!A24="","",'Product Data'!D24)</f>
        <v/>
      </c>
      <c r="E24" s="14">
        <f>IF('Product Data'!A24="","",'Product Data'!E24)</f>
        <v/>
      </c>
      <c r="F24" s="14">
        <f>IF('Product Data'!A24="","",'Product Data'!F24)</f>
        <v/>
      </c>
      <c r="G24" s="9">
        <f>IF('Product Data'!A24="","",C24*D24*E24)</f>
        <v/>
      </c>
      <c r="H24" s="13">
        <f>IF('Product Data'!A24="","",AND($C24&lt;='Box Library'!$C$4,$D24&lt;='Box Library'!$D$4,$E24&lt;='Box Library'!$E$4,$F24&lt;='Box Library'!$F$4))</f>
        <v/>
      </c>
      <c r="I24" s="13">
        <f>IF('Product Data'!A24="","",AND($C24&lt;='Box Library'!$C$5,$D24&lt;='Box Library'!$D$5,$E24&lt;='Box Library'!$E$5,$F24&lt;='Box Library'!$F$5))</f>
        <v/>
      </c>
      <c r="J24" s="13">
        <f>IF('Product Data'!A24="","",AND($C24&lt;='Box Library'!$C$6,$D24&lt;='Box Library'!$D$6,$E24&lt;='Box Library'!$E$6,$F24&lt;='Box Library'!$F$6))</f>
        <v/>
      </c>
      <c r="K24" s="13">
        <f>IF('Product Data'!A24="","",AND($C24&lt;='Box Library'!$C$7,$D24&lt;='Box Library'!$D$7,$E24&lt;='Box Library'!$E$7,$F24&lt;='Box Library'!$F$7))</f>
        <v/>
      </c>
      <c r="L24" s="13">
        <f>IF('Product Data'!A24="","",AND($C24&lt;='Box Library'!$C$8,$D24&lt;='Box Library'!$D$8,$E24&lt;='Box Library'!$E$8,$F24&lt;='Box Library'!$F$8))</f>
        <v/>
      </c>
      <c r="M24" s="13">
        <f>IF('Product Data'!A24="","",IF(H24,'Box Library'!$A$4,IF(I24,'Box Library'!$A$5,IF(J24,'Box Library'!$A$6,IF(K24,'Box Library'!$A$7,IF(L24,'Box Library'!$A$8,"NO BOX FITS"))))))</f>
        <v/>
      </c>
      <c r="N24" s="15">
        <f>IF('Product Data'!A24="","",IF(H24,'Box Library'!$G$4,IF(I24,'Box Library'!$G$5,IF(J24,'Box Library'!$G$6,IF(K24,'Box Library'!$G$7,IF(L24,'Box Library'!$G$8,0))))))</f>
        <v/>
      </c>
      <c r="O24" s="16">
        <f>IF('Product Data'!A24="","",IF(M24="NO BOX FITS",0,G24/(IF(H24,'Box Library'!$H$4,IF(I24,'Box Library'!$H$5,IF(J24,'Box Library'!$H$6,IF(K24,'Box Library'!$H$7,'Box Library'!$H$8)))))))</f>
        <v/>
      </c>
      <c r="P24" s="6">
        <f>IF('Product Data'!A24="","",IF(M24="NO BOX FITS","REVIEW - NO STANDARD BOX FITS","OK"))</f>
        <v/>
      </c>
    </row>
    <row r="25">
      <c r="A25" s="13">
        <f>IF('Product Data'!A25="","",'Product Data'!A25)</f>
        <v/>
      </c>
      <c r="B25" s="13">
        <f>IF('Product Data'!A25="","",'Product Data'!B25)</f>
        <v/>
      </c>
      <c r="C25" s="14">
        <f>IF('Product Data'!A25="","",'Product Data'!C25)</f>
        <v/>
      </c>
      <c r="D25" s="14">
        <f>IF('Product Data'!A25="","",'Product Data'!D25)</f>
        <v/>
      </c>
      <c r="E25" s="14">
        <f>IF('Product Data'!A25="","",'Product Data'!E25)</f>
        <v/>
      </c>
      <c r="F25" s="14">
        <f>IF('Product Data'!A25="","",'Product Data'!F25)</f>
        <v/>
      </c>
      <c r="G25" s="9">
        <f>IF('Product Data'!A25="","",C25*D25*E25)</f>
        <v/>
      </c>
      <c r="H25" s="13">
        <f>IF('Product Data'!A25="","",AND($C25&lt;='Box Library'!$C$4,$D25&lt;='Box Library'!$D$4,$E25&lt;='Box Library'!$E$4,$F25&lt;='Box Library'!$F$4))</f>
        <v/>
      </c>
      <c r="I25" s="13">
        <f>IF('Product Data'!A25="","",AND($C25&lt;='Box Library'!$C$5,$D25&lt;='Box Library'!$D$5,$E25&lt;='Box Library'!$E$5,$F25&lt;='Box Library'!$F$5))</f>
        <v/>
      </c>
      <c r="J25" s="13">
        <f>IF('Product Data'!A25="","",AND($C25&lt;='Box Library'!$C$6,$D25&lt;='Box Library'!$D$6,$E25&lt;='Box Library'!$E$6,$F25&lt;='Box Library'!$F$6))</f>
        <v/>
      </c>
      <c r="K25" s="13">
        <f>IF('Product Data'!A25="","",AND($C25&lt;='Box Library'!$C$7,$D25&lt;='Box Library'!$D$7,$E25&lt;='Box Library'!$E$7,$F25&lt;='Box Library'!$F$7))</f>
        <v/>
      </c>
      <c r="L25" s="13">
        <f>IF('Product Data'!A25="","",AND($C25&lt;='Box Library'!$C$8,$D25&lt;='Box Library'!$D$8,$E25&lt;='Box Library'!$E$8,$F25&lt;='Box Library'!$F$8))</f>
        <v/>
      </c>
      <c r="M25" s="13">
        <f>IF('Product Data'!A25="","",IF(H25,'Box Library'!$A$4,IF(I25,'Box Library'!$A$5,IF(J25,'Box Library'!$A$6,IF(K25,'Box Library'!$A$7,IF(L25,'Box Library'!$A$8,"NO BOX FITS"))))))</f>
        <v/>
      </c>
      <c r="N25" s="15">
        <f>IF('Product Data'!A25="","",IF(H25,'Box Library'!$G$4,IF(I25,'Box Library'!$G$5,IF(J25,'Box Library'!$G$6,IF(K25,'Box Library'!$G$7,IF(L25,'Box Library'!$G$8,0))))))</f>
        <v/>
      </c>
      <c r="O25" s="16">
        <f>IF('Product Data'!A25="","",IF(M25="NO BOX FITS",0,G25/(IF(H25,'Box Library'!$H$4,IF(I25,'Box Library'!$H$5,IF(J25,'Box Library'!$H$6,IF(K25,'Box Library'!$H$7,'Box Library'!$H$8)))))))</f>
        <v/>
      </c>
      <c r="P25" s="6">
        <f>IF('Product Data'!A25="","",IF(M25="NO BOX FITS","REVIEW - NO STANDARD BOX FITS","OK"))</f>
        <v/>
      </c>
    </row>
    <row r="26">
      <c r="A26" s="13">
        <f>IF('Product Data'!A26="","",'Product Data'!A26)</f>
        <v/>
      </c>
      <c r="B26" s="13">
        <f>IF('Product Data'!A26="","",'Product Data'!B26)</f>
        <v/>
      </c>
      <c r="C26" s="14">
        <f>IF('Product Data'!A26="","",'Product Data'!C26)</f>
        <v/>
      </c>
      <c r="D26" s="14">
        <f>IF('Product Data'!A26="","",'Product Data'!D26)</f>
        <v/>
      </c>
      <c r="E26" s="14">
        <f>IF('Product Data'!A26="","",'Product Data'!E26)</f>
        <v/>
      </c>
      <c r="F26" s="14">
        <f>IF('Product Data'!A26="","",'Product Data'!F26)</f>
        <v/>
      </c>
      <c r="G26" s="9">
        <f>IF('Product Data'!A26="","",C26*D26*E26)</f>
        <v/>
      </c>
      <c r="H26" s="13">
        <f>IF('Product Data'!A26="","",AND($C26&lt;='Box Library'!$C$4,$D26&lt;='Box Library'!$D$4,$E26&lt;='Box Library'!$E$4,$F26&lt;='Box Library'!$F$4))</f>
        <v/>
      </c>
      <c r="I26" s="13">
        <f>IF('Product Data'!A26="","",AND($C26&lt;='Box Library'!$C$5,$D26&lt;='Box Library'!$D$5,$E26&lt;='Box Library'!$E$5,$F26&lt;='Box Library'!$F$5))</f>
        <v/>
      </c>
      <c r="J26" s="13">
        <f>IF('Product Data'!A26="","",AND($C26&lt;='Box Library'!$C$6,$D26&lt;='Box Library'!$D$6,$E26&lt;='Box Library'!$E$6,$F26&lt;='Box Library'!$F$6))</f>
        <v/>
      </c>
      <c r="K26" s="13">
        <f>IF('Product Data'!A26="","",AND($C26&lt;='Box Library'!$C$7,$D26&lt;='Box Library'!$D$7,$E26&lt;='Box Library'!$E$7,$F26&lt;='Box Library'!$F$7))</f>
        <v/>
      </c>
      <c r="L26" s="13">
        <f>IF('Product Data'!A26="","",AND($C26&lt;='Box Library'!$C$8,$D26&lt;='Box Library'!$D$8,$E26&lt;='Box Library'!$E$8,$F26&lt;='Box Library'!$F$8))</f>
        <v/>
      </c>
      <c r="M26" s="13">
        <f>IF('Product Data'!A26="","",IF(H26,'Box Library'!$A$4,IF(I26,'Box Library'!$A$5,IF(J26,'Box Library'!$A$6,IF(K26,'Box Library'!$A$7,IF(L26,'Box Library'!$A$8,"NO BOX FITS"))))))</f>
        <v/>
      </c>
      <c r="N26" s="15">
        <f>IF('Product Data'!A26="","",IF(H26,'Box Library'!$G$4,IF(I26,'Box Library'!$G$5,IF(J26,'Box Library'!$G$6,IF(K26,'Box Library'!$G$7,IF(L26,'Box Library'!$G$8,0))))))</f>
        <v/>
      </c>
      <c r="O26" s="16">
        <f>IF('Product Data'!A26="","",IF(M26="NO BOX FITS",0,G26/(IF(H26,'Box Library'!$H$4,IF(I26,'Box Library'!$H$5,IF(J26,'Box Library'!$H$6,IF(K26,'Box Library'!$H$7,'Box Library'!$H$8)))))))</f>
        <v/>
      </c>
      <c r="P26" s="6">
        <f>IF('Product Data'!A26="","",IF(M26="NO BOX FITS","REVIEW - NO STANDARD BOX FITS","OK"))</f>
        <v/>
      </c>
    </row>
    <row r="27">
      <c r="A27" s="13">
        <f>IF('Product Data'!A27="","",'Product Data'!A27)</f>
        <v/>
      </c>
      <c r="B27" s="13">
        <f>IF('Product Data'!A27="","",'Product Data'!B27)</f>
        <v/>
      </c>
      <c r="C27" s="14">
        <f>IF('Product Data'!A27="","",'Product Data'!C27)</f>
        <v/>
      </c>
      <c r="D27" s="14">
        <f>IF('Product Data'!A27="","",'Product Data'!D27)</f>
        <v/>
      </c>
      <c r="E27" s="14">
        <f>IF('Product Data'!A27="","",'Product Data'!E27)</f>
        <v/>
      </c>
      <c r="F27" s="14">
        <f>IF('Product Data'!A27="","",'Product Data'!F27)</f>
        <v/>
      </c>
      <c r="G27" s="9">
        <f>IF('Product Data'!A27="","",C27*D27*E27)</f>
        <v/>
      </c>
      <c r="H27" s="13">
        <f>IF('Product Data'!A27="","",AND($C27&lt;='Box Library'!$C$4,$D27&lt;='Box Library'!$D$4,$E27&lt;='Box Library'!$E$4,$F27&lt;='Box Library'!$F$4))</f>
        <v/>
      </c>
      <c r="I27" s="13">
        <f>IF('Product Data'!A27="","",AND($C27&lt;='Box Library'!$C$5,$D27&lt;='Box Library'!$D$5,$E27&lt;='Box Library'!$E$5,$F27&lt;='Box Library'!$F$5))</f>
        <v/>
      </c>
      <c r="J27" s="13">
        <f>IF('Product Data'!A27="","",AND($C27&lt;='Box Library'!$C$6,$D27&lt;='Box Library'!$D$6,$E27&lt;='Box Library'!$E$6,$F27&lt;='Box Library'!$F$6))</f>
        <v/>
      </c>
      <c r="K27" s="13">
        <f>IF('Product Data'!A27="","",AND($C27&lt;='Box Library'!$C$7,$D27&lt;='Box Library'!$D$7,$E27&lt;='Box Library'!$E$7,$F27&lt;='Box Library'!$F$7))</f>
        <v/>
      </c>
      <c r="L27" s="13">
        <f>IF('Product Data'!A27="","",AND($C27&lt;='Box Library'!$C$8,$D27&lt;='Box Library'!$D$8,$E27&lt;='Box Library'!$E$8,$F27&lt;='Box Library'!$F$8))</f>
        <v/>
      </c>
      <c r="M27" s="13">
        <f>IF('Product Data'!A27="","",IF(H27,'Box Library'!$A$4,IF(I27,'Box Library'!$A$5,IF(J27,'Box Library'!$A$6,IF(K27,'Box Library'!$A$7,IF(L27,'Box Library'!$A$8,"NO BOX FITS"))))))</f>
        <v/>
      </c>
      <c r="N27" s="15">
        <f>IF('Product Data'!A27="","",IF(H27,'Box Library'!$G$4,IF(I27,'Box Library'!$G$5,IF(J27,'Box Library'!$G$6,IF(K27,'Box Library'!$G$7,IF(L27,'Box Library'!$G$8,0))))))</f>
        <v/>
      </c>
      <c r="O27" s="16">
        <f>IF('Product Data'!A27="","",IF(M27="NO BOX FITS",0,G27/(IF(H27,'Box Library'!$H$4,IF(I27,'Box Library'!$H$5,IF(J27,'Box Library'!$H$6,IF(K27,'Box Library'!$H$7,'Box Library'!$H$8)))))))</f>
        <v/>
      </c>
      <c r="P27" s="6">
        <f>IF('Product Data'!A27="","",IF(M27="NO BOX FITS","REVIEW - NO STANDARD BOX FITS","OK"))</f>
        <v/>
      </c>
    </row>
    <row r="28">
      <c r="A28" s="13">
        <f>IF('Product Data'!A28="","",'Product Data'!A28)</f>
        <v/>
      </c>
      <c r="B28" s="13">
        <f>IF('Product Data'!A28="","",'Product Data'!B28)</f>
        <v/>
      </c>
      <c r="C28" s="14">
        <f>IF('Product Data'!A28="","",'Product Data'!C28)</f>
        <v/>
      </c>
      <c r="D28" s="14">
        <f>IF('Product Data'!A28="","",'Product Data'!D28)</f>
        <v/>
      </c>
      <c r="E28" s="14">
        <f>IF('Product Data'!A28="","",'Product Data'!E28)</f>
        <v/>
      </c>
      <c r="F28" s="14">
        <f>IF('Product Data'!A28="","",'Product Data'!F28)</f>
        <v/>
      </c>
      <c r="G28" s="9">
        <f>IF('Product Data'!A28="","",C28*D28*E28)</f>
        <v/>
      </c>
      <c r="H28" s="13">
        <f>IF('Product Data'!A28="","",AND($C28&lt;='Box Library'!$C$4,$D28&lt;='Box Library'!$D$4,$E28&lt;='Box Library'!$E$4,$F28&lt;='Box Library'!$F$4))</f>
        <v/>
      </c>
      <c r="I28" s="13">
        <f>IF('Product Data'!A28="","",AND($C28&lt;='Box Library'!$C$5,$D28&lt;='Box Library'!$D$5,$E28&lt;='Box Library'!$E$5,$F28&lt;='Box Library'!$F$5))</f>
        <v/>
      </c>
      <c r="J28" s="13">
        <f>IF('Product Data'!A28="","",AND($C28&lt;='Box Library'!$C$6,$D28&lt;='Box Library'!$D$6,$E28&lt;='Box Library'!$E$6,$F28&lt;='Box Library'!$F$6))</f>
        <v/>
      </c>
      <c r="K28" s="13">
        <f>IF('Product Data'!A28="","",AND($C28&lt;='Box Library'!$C$7,$D28&lt;='Box Library'!$D$7,$E28&lt;='Box Library'!$E$7,$F28&lt;='Box Library'!$F$7))</f>
        <v/>
      </c>
      <c r="L28" s="13">
        <f>IF('Product Data'!A28="","",AND($C28&lt;='Box Library'!$C$8,$D28&lt;='Box Library'!$D$8,$E28&lt;='Box Library'!$E$8,$F28&lt;='Box Library'!$F$8))</f>
        <v/>
      </c>
      <c r="M28" s="13">
        <f>IF('Product Data'!A28="","",IF(H28,'Box Library'!$A$4,IF(I28,'Box Library'!$A$5,IF(J28,'Box Library'!$A$6,IF(K28,'Box Library'!$A$7,IF(L28,'Box Library'!$A$8,"NO BOX FITS"))))))</f>
        <v/>
      </c>
      <c r="N28" s="15">
        <f>IF('Product Data'!A28="","",IF(H28,'Box Library'!$G$4,IF(I28,'Box Library'!$G$5,IF(J28,'Box Library'!$G$6,IF(K28,'Box Library'!$G$7,IF(L28,'Box Library'!$G$8,0))))))</f>
        <v/>
      </c>
      <c r="O28" s="16">
        <f>IF('Product Data'!A28="","",IF(M28="NO BOX FITS",0,G28/(IF(H28,'Box Library'!$H$4,IF(I28,'Box Library'!$H$5,IF(J28,'Box Library'!$H$6,IF(K28,'Box Library'!$H$7,'Box Library'!$H$8)))))))</f>
        <v/>
      </c>
      <c r="P28" s="6">
        <f>IF('Product Data'!A28="","",IF(M28="NO BOX FITS","REVIEW - NO STANDARD BOX FITS","OK"))</f>
        <v/>
      </c>
    </row>
    <row r="29">
      <c r="A29" s="13">
        <f>IF('Product Data'!A29="","",'Product Data'!A29)</f>
        <v/>
      </c>
      <c r="B29" s="13">
        <f>IF('Product Data'!A29="","",'Product Data'!B29)</f>
        <v/>
      </c>
      <c r="C29" s="14">
        <f>IF('Product Data'!A29="","",'Product Data'!C29)</f>
        <v/>
      </c>
      <c r="D29" s="14">
        <f>IF('Product Data'!A29="","",'Product Data'!D29)</f>
        <v/>
      </c>
      <c r="E29" s="14">
        <f>IF('Product Data'!A29="","",'Product Data'!E29)</f>
        <v/>
      </c>
      <c r="F29" s="14">
        <f>IF('Product Data'!A29="","",'Product Data'!F29)</f>
        <v/>
      </c>
      <c r="G29" s="9">
        <f>IF('Product Data'!A29="","",C29*D29*E29)</f>
        <v/>
      </c>
      <c r="H29" s="13">
        <f>IF('Product Data'!A29="","",AND($C29&lt;='Box Library'!$C$4,$D29&lt;='Box Library'!$D$4,$E29&lt;='Box Library'!$E$4,$F29&lt;='Box Library'!$F$4))</f>
        <v/>
      </c>
      <c r="I29" s="13">
        <f>IF('Product Data'!A29="","",AND($C29&lt;='Box Library'!$C$5,$D29&lt;='Box Library'!$D$5,$E29&lt;='Box Library'!$E$5,$F29&lt;='Box Library'!$F$5))</f>
        <v/>
      </c>
      <c r="J29" s="13">
        <f>IF('Product Data'!A29="","",AND($C29&lt;='Box Library'!$C$6,$D29&lt;='Box Library'!$D$6,$E29&lt;='Box Library'!$E$6,$F29&lt;='Box Library'!$F$6))</f>
        <v/>
      </c>
      <c r="K29" s="13">
        <f>IF('Product Data'!A29="","",AND($C29&lt;='Box Library'!$C$7,$D29&lt;='Box Library'!$D$7,$E29&lt;='Box Library'!$E$7,$F29&lt;='Box Library'!$F$7))</f>
        <v/>
      </c>
      <c r="L29" s="13">
        <f>IF('Product Data'!A29="","",AND($C29&lt;='Box Library'!$C$8,$D29&lt;='Box Library'!$D$8,$E29&lt;='Box Library'!$E$8,$F29&lt;='Box Library'!$F$8))</f>
        <v/>
      </c>
      <c r="M29" s="13">
        <f>IF('Product Data'!A29="","",IF(H29,'Box Library'!$A$4,IF(I29,'Box Library'!$A$5,IF(J29,'Box Library'!$A$6,IF(K29,'Box Library'!$A$7,IF(L29,'Box Library'!$A$8,"NO BOX FITS"))))))</f>
        <v/>
      </c>
      <c r="N29" s="15">
        <f>IF('Product Data'!A29="","",IF(H29,'Box Library'!$G$4,IF(I29,'Box Library'!$G$5,IF(J29,'Box Library'!$G$6,IF(K29,'Box Library'!$G$7,IF(L29,'Box Library'!$G$8,0))))))</f>
        <v/>
      </c>
      <c r="O29" s="16">
        <f>IF('Product Data'!A29="","",IF(M29="NO BOX FITS",0,G29/(IF(H29,'Box Library'!$H$4,IF(I29,'Box Library'!$H$5,IF(J29,'Box Library'!$H$6,IF(K29,'Box Library'!$H$7,'Box Library'!$H$8)))))))</f>
        <v/>
      </c>
      <c r="P29" s="6">
        <f>IF('Product Data'!A29="","",IF(M29="NO BOX FITS","REVIEW - NO STANDARD BOX FITS","OK"))</f>
        <v/>
      </c>
    </row>
    <row r="30">
      <c r="A30" s="13">
        <f>IF('Product Data'!A30="","",'Product Data'!A30)</f>
        <v/>
      </c>
      <c r="B30" s="13">
        <f>IF('Product Data'!A30="","",'Product Data'!B30)</f>
        <v/>
      </c>
      <c r="C30" s="14">
        <f>IF('Product Data'!A30="","",'Product Data'!C30)</f>
        <v/>
      </c>
      <c r="D30" s="14">
        <f>IF('Product Data'!A30="","",'Product Data'!D30)</f>
        <v/>
      </c>
      <c r="E30" s="14">
        <f>IF('Product Data'!A30="","",'Product Data'!E30)</f>
        <v/>
      </c>
      <c r="F30" s="14">
        <f>IF('Product Data'!A30="","",'Product Data'!F30)</f>
        <v/>
      </c>
      <c r="G30" s="9">
        <f>IF('Product Data'!A30="","",C30*D30*E30)</f>
        <v/>
      </c>
      <c r="H30" s="13">
        <f>IF('Product Data'!A30="","",AND($C30&lt;='Box Library'!$C$4,$D30&lt;='Box Library'!$D$4,$E30&lt;='Box Library'!$E$4,$F30&lt;='Box Library'!$F$4))</f>
        <v/>
      </c>
      <c r="I30" s="13">
        <f>IF('Product Data'!A30="","",AND($C30&lt;='Box Library'!$C$5,$D30&lt;='Box Library'!$D$5,$E30&lt;='Box Library'!$E$5,$F30&lt;='Box Library'!$F$5))</f>
        <v/>
      </c>
      <c r="J30" s="13">
        <f>IF('Product Data'!A30="","",AND($C30&lt;='Box Library'!$C$6,$D30&lt;='Box Library'!$D$6,$E30&lt;='Box Library'!$E$6,$F30&lt;='Box Library'!$F$6))</f>
        <v/>
      </c>
      <c r="K30" s="13">
        <f>IF('Product Data'!A30="","",AND($C30&lt;='Box Library'!$C$7,$D30&lt;='Box Library'!$D$7,$E30&lt;='Box Library'!$E$7,$F30&lt;='Box Library'!$F$7))</f>
        <v/>
      </c>
      <c r="L30" s="13">
        <f>IF('Product Data'!A30="","",AND($C30&lt;='Box Library'!$C$8,$D30&lt;='Box Library'!$D$8,$E30&lt;='Box Library'!$E$8,$F30&lt;='Box Library'!$F$8))</f>
        <v/>
      </c>
      <c r="M30" s="13">
        <f>IF('Product Data'!A30="","",IF(H30,'Box Library'!$A$4,IF(I30,'Box Library'!$A$5,IF(J30,'Box Library'!$A$6,IF(K30,'Box Library'!$A$7,IF(L30,'Box Library'!$A$8,"NO BOX FITS"))))))</f>
        <v/>
      </c>
      <c r="N30" s="15">
        <f>IF('Product Data'!A30="","",IF(H30,'Box Library'!$G$4,IF(I30,'Box Library'!$G$5,IF(J30,'Box Library'!$G$6,IF(K30,'Box Library'!$G$7,IF(L30,'Box Library'!$G$8,0))))))</f>
        <v/>
      </c>
      <c r="O30" s="16">
        <f>IF('Product Data'!A30="","",IF(M30="NO BOX FITS",0,G30/(IF(H30,'Box Library'!$H$4,IF(I30,'Box Library'!$H$5,IF(J30,'Box Library'!$H$6,IF(K30,'Box Library'!$H$7,'Box Library'!$H$8)))))))</f>
        <v/>
      </c>
      <c r="P30" s="6">
        <f>IF('Product Data'!A30="","",IF(M30="NO BOX FITS","REVIEW - NO STANDARD BOX FITS","OK"))</f>
        <v/>
      </c>
    </row>
    <row r="31">
      <c r="A31" s="13">
        <f>IF('Product Data'!A31="","",'Product Data'!A31)</f>
        <v/>
      </c>
      <c r="B31" s="13">
        <f>IF('Product Data'!A31="","",'Product Data'!B31)</f>
        <v/>
      </c>
      <c r="C31" s="14">
        <f>IF('Product Data'!A31="","",'Product Data'!C31)</f>
        <v/>
      </c>
      <c r="D31" s="14">
        <f>IF('Product Data'!A31="","",'Product Data'!D31)</f>
        <v/>
      </c>
      <c r="E31" s="14">
        <f>IF('Product Data'!A31="","",'Product Data'!E31)</f>
        <v/>
      </c>
      <c r="F31" s="14">
        <f>IF('Product Data'!A31="","",'Product Data'!F31)</f>
        <v/>
      </c>
      <c r="G31" s="9">
        <f>IF('Product Data'!A31="","",C31*D31*E31)</f>
        <v/>
      </c>
      <c r="H31" s="13">
        <f>IF('Product Data'!A31="","",AND($C31&lt;='Box Library'!$C$4,$D31&lt;='Box Library'!$D$4,$E31&lt;='Box Library'!$E$4,$F31&lt;='Box Library'!$F$4))</f>
        <v/>
      </c>
      <c r="I31" s="13">
        <f>IF('Product Data'!A31="","",AND($C31&lt;='Box Library'!$C$5,$D31&lt;='Box Library'!$D$5,$E31&lt;='Box Library'!$E$5,$F31&lt;='Box Library'!$F$5))</f>
        <v/>
      </c>
      <c r="J31" s="13">
        <f>IF('Product Data'!A31="","",AND($C31&lt;='Box Library'!$C$6,$D31&lt;='Box Library'!$D$6,$E31&lt;='Box Library'!$E$6,$F31&lt;='Box Library'!$F$6))</f>
        <v/>
      </c>
      <c r="K31" s="13">
        <f>IF('Product Data'!A31="","",AND($C31&lt;='Box Library'!$C$7,$D31&lt;='Box Library'!$D$7,$E31&lt;='Box Library'!$E$7,$F31&lt;='Box Library'!$F$7))</f>
        <v/>
      </c>
      <c r="L31" s="13">
        <f>IF('Product Data'!A31="","",AND($C31&lt;='Box Library'!$C$8,$D31&lt;='Box Library'!$D$8,$E31&lt;='Box Library'!$E$8,$F31&lt;='Box Library'!$F$8))</f>
        <v/>
      </c>
      <c r="M31" s="13">
        <f>IF('Product Data'!A31="","",IF(H31,'Box Library'!$A$4,IF(I31,'Box Library'!$A$5,IF(J31,'Box Library'!$A$6,IF(K31,'Box Library'!$A$7,IF(L31,'Box Library'!$A$8,"NO BOX FITS"))))))</f>
        <v/>
      </c>
      <c r="N31" s="15">
        <f>IF('Product Data'!A31="","",IF(H31,'Box Library'!$G$4,IF(I31,'Box Library'!$G$5,IF(J31,'Box Library'!$G$6,IF(K31,'Box Library'!$G$7,IF(L31,'Box Library'!$G$8,0))))))</f>
        <v/>
      </c>
      <c r="O31" s="16">
        <f>IF('Product Data'!A31="","",IF(M31="NO BOX FITS",0,G31/(IF(H31,'Box Library'!$H$4,IF(I31,'Box Library'!$H$5,IF(J31,'Box Library'!$H$6,IF(K31,'Box Library'!$H$7,'Box Library'!$H$8)))))))</f>
        <v/>
      </c>
      <c r="P31" s="6">
        <f>IF('Product Data'!A31="","",IF(M31="NO BOX FITS","REVIEW - NO STANDARD BOX FITS","OK"))</f>
        <v/>
      </c>
    </row>
    <row r="32">
      <c r="A32" s="13">
        <f>IF('Product Data'!A32="","",'Product Data'!A32)</f>
        <v/>
      </c>
      <c r="B32" s="13">
        <f>IF('Product Data'!A32="","",'Product Data'!B32)</f>
        <v/>
      </c>
      <c r="C32" s="14">
        <f>IF('Product Data'!A32="","",'Product Data'!C32)</f>
        <v/>
      </c>
      <c r="D32" s="14">
        <f>IF('Product Data'!A32="","",'Product Data'!D32)</f>
        <v/>
      </c>
      <c r="E32" s="14">
        <f>IF('Product Data'!A32="","",'Product Data'!E32)</f>
        <v/>
      </c>
      <c r="F32" s="14">
        <f>IF('Product Data'!A32="","",'Product Data'!F32)</f>
        <v/>
      </c>
      <c r="G32" s="9">
        <f>IF('Product Data'!A32="","",C32*D32*E32)</f>
        <v/>
      </c>
      <c r="H32" s="13">
        <f>IF('Product Data'!A32="","",AND($C32&lt;='Box Library'!$C$4,$D32&lt;='Box Library'!$D$4,$E32&lt;='Box Library'!$E$4,$F32&lt;='Box Library'!$F$4))</f>
        <v/>
      </c>
      <c r="I32" s="13">
        <f>IF('Product Data'!A32="","",AND($C32&lt;='Box Library'!$C$5,$D32&lt;='Box Library'!$D$5,$E32&lt;='Box Library'!$E$5,$F32&lt;='Box Library'!$F$5))</f>
        <v/>
      </c>
      <c r="J32" s="13">
        <f>IF('Product Data'!A32="","",AND($C32&lt;='Box Library'!$C$6,$D32&lt;='Box Library'!$D$6,$E32&lt;='Box Library'!$E$6,$F32&lt;='Box Library'!$F$6))</f>
        <v/>
      </c>
      <c r="K32" s="13">
        <f>IF('Product Data'!A32="","",AND($C32&lt;='Box Library'!$C$7,$D32&lt;='Box Library'!$D$7,$E32&lt;='Box Library'!$E$7,$F32&lt;='Box Library'!$F$7))</f>
        <v/>
      </c>
      <c r="L32" s="13">
        <f>IF('Product Data'!A32="","",AND($C32&lt;='Box Library'!$C$8,$D32&lt;='Box Library'!$D$8,$E32&lt;='Box Library'!$E$8,$F32&lt;='Box Library'!$F$8))</f>
        <v/>
      </c>
      <c r="M32" s="13">
        <f>IF('Product Data'!A32="","",IF(H32,'Box Library'!$A$4,IF(I32,'Box Library'!$A$5,IF(J32,'Box Library'!$A$6,IF(K32,'Box Library'!$A$7,IF(L32,'Box Library'!$A$8,"NO BOX FITS"))))))</f>
        <v/>
      </c>
      <c r="N32" s="15">
        <f>IF('Product Data'!A32="","",IF(H32,'Box Library'!$G$4,IF(I32,'Box Library'!$G$5,IF(J32,'Box Library'!$G$6,IF(K32,'Box Library'!$G$7,IF(L32,'Box Library'!$G$8,0))))))</f>
        <v/>
      </c>
      <c r="O32" s="16">
        <f>IF('Product Data'!A32="","",IF(M32="NO BOX FITS",0,G32/(IF(H32,'Box Library'!$H$4,IF(I32,'Box Library'!$H$5,IF(J32,'Box Library'!$H$6,IF(K32,'Box Library'!$H$7,'Box Library'!$H$8)))))))</f>
        <v/>
      </c>
      <c r="P32" s="6">
        <f>IF('Product Data'!A32="","",IF(M32="NO BOX FITS","REVIEW - NO STANDARD BOX FITS","OK"))</f>
        <v/>
      </c>
    </row>
    <row r="33">
      <c r="A33" s="13">
        <f>IF('Product Data'!A33="","",'Product Data'!A33)</f>
        <v/>
      </c>
      <c r="B33" s="13">
        <f>IF('Product Data'!A33="","",'Product Data'!B33)</f>
        <v/>
      </c>
      <c r="C33" s="14">
        <f>IF('Product Data'!A33="","",'Product Data'!C33)</f>
        <v/>
      </c>
      <c r="D33" s="14">
        <f>IF('Product Data'!A33="","",'Product Data'!D33)</f>
        <v/>
      </c>
      <c r="E33" s="14">
        <f>IF('Product Data'!A33="","",'Product Data'!E33)</f>
        <v/>
      </c>
      <c r="F33" s="14">
        <f>IF('Product Data'!A33="","",'Product Data'!F33)</f>
        <v/>
      </c>
      <c r="G33" s="9">
        <f>IF('Product Data'!A33="","",C33*D33*E33)</f>
        <v/>
      </c>
      <c r="H33" s="13">
        <f>IF('Product Data'!A33="","",AND($C33&lt;='Box Library'!$C$4,$D33&lt;='Box Library'!$D$4,$E33&lt;='Box Library'!$E$4,$F33&lt;='Box Library'!$F$4))</f>
        <v/>
      </c>
      <c r="I33" s="13">
        <f>IF('Product Data'!A33="","",AND($C33&lt;='Box Library'!$C$5,$D33&lt;='Box Library'!$D$5,$E33&lt;='Box Library'!$E$5,$F33&lt;='Box Library'!$F$5))</f>
        <v/>
      </c>
      <c r="J33" s="13">
        <f>IF('Product Data'!A33="","",AND($C33&lt;='Box Library'!$C$6,$D33&lt;='Box Library'!$D$6,$E33&lt;='Box Library'!$E$6,$F33&lt;='Box Library'!$F$6))</f>
        <v/>
      </c>
      <c r="K33" s="13">
        <f>IF('Product Data'!A33="","",AND($C33&lt;='Box Library'!$C$7,$D33&lt;='Box Library'!$D$7,$E33&lt;='Box Library'!$E$7,$F33&lt;='Box Library'!$F$7))</f>
        <v/>
      </c>
      <c r="L33" s="13">
        <f>IF('Product Data'!A33="","",AND($C33&lt;='Box Library'!$C$8,$D33&lt;='Box Library'!$D$8,$E33&lt;='Box Library'!$E$8,$F33&lt;='Box Library'!$F$8))</f>
        <v/>
      </c>
      <c r="M33" s="13">
        <f>IF('Product Data'!A33="","",IF(H33,'Box Library'!$A$4,IF(I33,'Box Library'!$A$5,IF(J33,'Box Library'!$A$6,IF(K33,'Box Library'!$A$7,IF(L33,'Box Library'!$A$8,"NO BOX FITS"))))))</f>
        <v/>
      </c>
      <c r="N33" s="15">
        <f>IF('Product Data'!A33="","",IF(H33,'Box Library'!$G$4,IF(I33,'Box Library'!$G$5,IF(J33,'Box Library'!$G$6,IF(K33,'Box Library'!$G$7,IF(L33,'Box Library'!$G$8,0))))))</f>
        <v/>
      </c>
      <c r="O33" s="16">
        <f>IF('Product Data'!A33="","",IF(M33="NO BOX FITS",0,G33/(IF(H33,'Box Library'!$H$4,IF(I33,'Box Library'!$H$5,IF(J33,'Box Library'!$H$6,IF(K33,'Box Library'!$H$7,'Box Library'!$H$8)))))))</f>
        <v/>
      </c>
      <c r="P33" s="6">
        <f>IF('Product Data'!A33="","",IF(M33="NO BOX FITS","REVIEW - NO STANDARD BOX FITS","OK"))</f>
        <v/>
      </c>
    </row>
    <row r="34">
      <c r="A34" s="13">
        <f>IF('Product Data'!A34="","",'Product Data'!A34)</f>
        <v/>
      </c>
      <c r="B34" s="13">
        <f>IF('Product Data'!A34="","",'Product Data'!B34)</f>
        <v/>
      </c>
      <c r="C34" s="14">
        <f>IF('Product Data'!A34="","",'Product Data'!C34)</f>
        <v/>
      </c>
      <c r="D34" s="14">
        <f>IF('Product Data'!A34="","",'Product Data'!D34)</f>
        <v/>
      </c>
      <c r="E34" s="14">
        <f>IF('Product Data'!A34="","",'Product Data'!E34)</f>
        <v/>
      </c>
      <c r="F34" s="14">
        <f>IF('Product Data'!A34="","",'Product Data'!F34)</f>
        <v/>
      </c>
      <c r="G34" s="9">
        <f>IF('Product Data'!A34="","",C34*D34*E34)</f>
        <v/>
      </c>
      <c r="H34" s="13">
        <f>IF('Product Data'!A34="","",AND($C34&lt;='Box Library'!$C$4,$D34&lt;='Box Library'!$D$4,$E34&lt;='Box Library'!$E$4,$F34&lt;='Box Library'!$F$4))</f>
        <v/>
      </c>
      <c r="I34" s="13">
        <f>IF('Product Data'!A34="","",AND($C34&lt;='Box Library'!$C$5,$D34&lt;='Box Library'!$D$5,$E34&lt;='Box Library'!$E$5,$F34&lt;='Box Library'!$F$5))</f>
        <v/>
      </c>
      <c r="J34" s="13">
        <f>IF('Product Data'!A34="","",AND($C34&lt;='Box Library'!$C$6,$D34&lt;='Box Library'!$D$6,$E34&lt;='Box Library'!$E$6,$F34&lt;='Box Library'!$F$6))</f>
        <v/>
      </c>
      <c r="K34" s="13">
        <f>IF('Product Data'!A34="","",AND($C34&lt;='Box Library'!$C$7,$D34&lt;='Box Library'!$D$7,$E34&lt;='Box Library'!$E$7,$F34&lt;='Box Library'!$F$7))</f>
        <v/>
      </c>
      <c r="L34" s="13">
        <f>IF('Product Data'!A34="","",AND($C34&lt;='Box Library'!$C$8,$D34&lt;='Box Library'!$D$8,$E34&lt;='Box Library'!$E$8,$F34&lt;='Box Library'!$F$8))</f>
        <v/>
      </c>
      <c r="M34" s="13">
        <f>IF('Product Data'!A34="","",IF(H34,'Box Library'!$A$4,IF(I34,'Box Library'!$A$5,IF(J34,'Box Library'!$A$6,IF(K34,'Box Library'!$A$7,IF(L34,'Box Library'!$A$8,"NO BOX FITS"))))))</f>
        <v/>
      </c>
      <c r="N34" s="15">
        <f>IF('Product Data'!A34="","",IF(H34,'Box Library'!$G$4,IF(I34,'Box Library'!$G$5,IF(J34,'Box Library'!$G$6,IF(K34,'Box Library'!$G$7,IF(L34,'Box Library'!$G$8,0))))))</f>
        <v/>
      </c>
      <c r="O34" s="16">
        <f>IF('Product Data'!A34="","",IF(M34="NO BOX FITS",0,G34/(IF(H34,'Box Library'!$H$4,IF(I34,'Box Library'!$H$5,IF(J34,'Box Library'!$H$6,IF(K34,'Box Library'!$H$7,'Box Library'!$H$8)))))))</f>
        <v/>
      </c>
      <c r="P34" s="6">
        <f>IF('Product Data'!A34="","",IF(M34="NO BOX FITS","REVIEW - NO STANDARD BOX FITS","OK"))</f>
        <v/>
      </c>
    </row>
    <row r="35">
      <c r="A35" s="13">
        <f>IF('Product Data'!A35="","",'Product Data'!A35)</f>
        <v/>
      </c>
      <c r="B35" s="13">
        <f>IF('Product Data'!A35="","",'Product Data'!B35)</f>
        <v/>
      </c>
      <c r="C35" s="14">
        <f>IF('Product Data'!A35="","",'Product Data'!C35)</f>
        <v/>
      </c>
      <c r="D35" s="14">
        <f>IF('Product Data'!A35="","",'Product Data'!D35)</f>
        <v/>
      </c>
      <c r="E35" s="14">
        <f>IF('Product Data'!A35="","",'Product Data'!E35)</f>
        <v/>
      </c>
      <c r="F35" s="14">
        <f>IF('Product Data'!A35="","",'Product Data'!F35)</f>
        <v/>
      </c>
      <c r="G35" s="9">
        <f>IF('Product Data'!A35="","",C35*D35*E35)</f>
        <v/>
      </c>
      <c r="H35" s="13">
        <f>IF('Product Data'!A35="","",AND($C35&lt;='Box Library'!$C$4,$D35&lt;='Box Library'!$D$4,$E35&lt;='Box Library'!$E$4,$F35&lt;='Box Library'!$F$4))</f>
        <v/>
      </c>
      <c r="I35" s="13">
        <f>IF('Product Data'!A35="","",AND($C35&lt;='Box Library'!$C$5,$D35&lt;='Box Library'!$D$5,$E35&lt;='Box Library'!$E$5,$F35&lt;='Box Library'!$F$5))</f>
        <v/>
      </c>
      <c r="J35" s="13">
        <f>IF('Product Data'!A35="","",AND($C35&lt;='Box Library'!$C$6,$D35&lt;='Box Library'!$D$6,$E35&lt;='Box Library'!$E$6,$F35&lt;='Box Library'!$F$6))</f>
        <v/>
      </c>
      <c r="K35" s="13">
        <f>IF('Product Data'!A35="","",AND($C35&lt;='Box Library'!$C$7,$D35&lt;='Box Library'!$D$7,$E35&lt;='Box Library'!$E$7,$F35&lt;='Box Library'!$F$7))</f>
        <v/>
      </c>
      <c r="L35" s="13">
        <f>IF('Product Data'!A35="","",AND($C35&lt;='Box Library'!$C$8,$D35&lt;='Box Library'!$D$8,$E35&lt;='Box Library'!$E$8,$F35&lt;='Box Library'!$F$8))</f>
        <v/>
      </c>
      <c r="M35" s="13">
        <f>IF('Product Data'!A35="","",IF(H35,'Box Library'!$A$4,IF(I35,'Box Library'!$A$5,IF(J35,'Box Library'!$A$6,IF(K35,'Box Library'!$A$7,IF(L35,'Box Library'!$A$8,"NO BOX FITS"))))))</f>
        <v/>
      </c>
      <c r="N35" s="15">
        <f>IF('Product Data'!A35="","",IF(H35,'Box Library'!$G$4,IF(I35,'Box Library'!$G$5,IF(J35,'Box Library'!$G$6,IF(K35,'Box Library'!$G$7,IF(L35,'Box Library'!$G$8,0))))))</f>
        <v/>
      </c>
      <c r="O35" s="16">
        <f>IF('Product Data'!A35="","",IF(M35="NO BOX FITS",0,G35/(IF(H35,'Box Library'!$H$4,IF(I35,'Box Library'!$H$5,IF(J35,'Box Library'!$H$6,IF(K35,'Box Library'!$H$7,'Box Library'!$H$8)))))))</f>
        <v/>
      </c>
      <c r="P35" s="6">
        <f>IF('Product Data'!A35="","",IF(M35="NO BOX FITS","REVIEW - NO STANDARD BOX FITS","OK"))</f>
        <v/>
      </c>
    </row>
    <row r="36">
      <c r="A36" s="13">
        <f>IF('Product Data'!A36="","",'Product Data'!A36)</f>
        <v/>
      </c>
      <c r="B36" s="13">
        <f>IF('Product Data'!A36="","",'Product Data'!B36)</f>
        <v/>
      </c>
      <c r="C36" s="14">
        <f>IF('Product Data'!A36="","",'Product Data'!C36)</f>
        <v/>
      </c>
      <c r="D36" s="14">
        <f>IF('Product Data'!A36="","",'Product Data'!D36)</f>
        <v/>
      </c>
      <c r="E36" s="14">
        <f>IF('Product Data'!A36="","",'Product Data'!E36)</f>
        <v/>
      </c>
      <c r="F36" s="14">
        <f>IF('Product Data'!A36="","",'Product Data'!F36)</f>
        <v/>
      </c>
      <c r="G36" s="9">
        <f>IF('Product Data'!A36="","",C36*D36*E36)</f>
        <v/>
      </c>
      <c r="H36" s="13">
        <f>IF('Product Data'!A36="","",AND($C36&lt;='Box Library'!$C$4,$D36&lt;='Box Library'!$D$4,$E36&lt;='Box Library'!$E$4,$F36&lt;='Box Library'!$F$4))</f>
        <v/>
      </c>
      <c r="I36" s="13">
        <f>IF('Product Data'!A36="","",AND($C36&lt;='Box Library'!$C$5,$D36&lt;='Box Library'!$D$5,$E36&lt;='Box Library'!$E$5,$F36&lt;='Box Library'!$F$5))</f>
        <v/>
      </c>
      <c r="J36" s="13">
        <f>IF('Product Data'!A36="","",AND($C36&lt;='Box Library'!$C$6,$D36&lt;='Box Library'!$D$6,$E36&lt;='Box Library'!$E$6,$F36&lt;='Box Library'!$F$6))</f>
        <v/>
      </c>
      <c r="K36" s="13">
        <f>IF('Product Data'!A36="","",AND($C36&lt;='Box Library'!$C$7,$D36&lt;='Box Library'!$D$7,$E36&lt;='Box Library'!$E$7,$F36&lt;='Box Library'!$F$7))</f>
        <v/>
      </c>
      <c r="L36" s="13">
        <f>IF('Product Data'!A36="","",AND($C36&lt;='Box Library'!$C$8,$D36&lt;='Box Library'!$D$8,$E36&lt;='Box Library'!$E$8,$F36&lt;='Box Library'!$F$8))</f>
        <v/>
      </c>
      <c r="M36" s="13">
        <f>IF('Product Data'!A36="","",IF(H36,'Box Library'!$A$4,IF(I36,'Box Library'!$A$5,IF(J36,'Box Library'!$A$6,IF(K36,'Box Library'!$A$7,IF(L36,'Box Library'!$A$8,"NO BOX FITS"))))))</f>
        <v/>
      </c>
      <c r="N36" s="15">
        <f>IF('Product Data'!A36="","",IF(H36,'Box Library'!$G$4,IF(I36,'Box Library'!$G$5,IF(J36,'Box Library'!$G$6,IF(K36,'Box Library'!$G$7,IF(L36,'Box Library'!$G$8,0))))))</f>
        <v/>
      </c>
      <c r="O36" s="16">
        <f>IF('Product Data'!A36="","",IF(M36="NO BOX FITS",0,G36/(IF(H36,'Box Library'!$H$4,IF(I36,'Box Library'!$H$5,IF(J36,'Box Library'!$H$6,IF(K36,'Box Library'!$H$7,'Box Library'!$H$8)))))))</f>
        <v/>
      </c>
      <c r="P36" s="6">
        <f>IF('Product Data'!A36="","",IF(M36="NO BOX FITS","REVIEW - NO STANDARD BOX FITS","OK"))</f>
        <v/>
      </c>
    </row>
    <row r="37">
      <c r="A37" s="13">
        <f>IF('Product Data'!A37="","",'Product Data'!A37)</f>
        <v/>
      </c>
      <c r="B37" s="13">
        <f>IF('Product Data'!A37="","",'Product Data'!B37)</f>
        <v/>
      </c>
      <c r="C37" s="14">
        <f>IF('Product Data'!A37="","",'Product Data'!C37)</f>
        <v/>
      </c>
      <c r="D37" s="14">
        <f>IF('Product Data'!A37="","",'Product Data'!D37)</f>
        <v/>
      </c>
      <c r="E37" s="14">
        <f>IF('Product Data'!A37="","",'Product Data'!E37)</f>
        <v/>
      </c>
      <c r="F37" s="14">
        <f>IF('Product Data'!A37="","",'Product Data'!F37)</f>
        <v/>
      </c>
      <c r="G37" s="9">
        <f>IF('Product Data'!A37="","",C37*D37*E37)</f>
        <v/>
      </c>
      <c r="H37" s="13">
        <f>IF('Product Data'!A37="","",AND($C37&lt;='Box Library'!$C$4,$D37&lt;='Box Library'!$D$4,$E37&lt;='Box Library'!$E$4,$F37&lt;='Box Library'!$F$4))</f>
        <v/>
      </c>
      <c r="I37" s="13">
        <f>IF('Product Data'!A37="","",AND($C37&lt;='Box Library'!$C$5,$D37&lt;='Box Library'!$D$5,$E37&lt;='Box Library'!$E$5,$F37&lt;='Box Library'!$F$5))</f>
        <v/>
      </c>
      <c r="J37" s="13">
        <f>IF('Product Data'!A37="","",AND($C37&lt;='Box Library'!$C$6,$D37&lt;='Box Library'!$D$6,$E37&lt;='Box Library'!$E$6,$F37&lt;='Box Library'!$F$6))</f>
        <v/>
      </c>
      <c r="K37" s="13">
        <f>IF('Product Data'!A37="","",AND($C37&lt;='Box Library'!$C$7,$D37&lt;='Box Library'!$D$7,$E37&lt;='Box Library'!$E$7,$F37&lt;='Box Library'!$F$7))</f>
        <v/>
      </c>
      <c r="L37" s="13">
        <f>IF('Product Data'!A37="","",AND($C37&lt;='Box Library'!$C$8,$D37&lt;='Box Library'!$D$8,$E37&lt;='Box Library'!$E$8,$F37&lt;='Box Library'!$F$8))</f>
        <v/>
      </c>
      <c r="M37" s="13">
        <f>IF('Product Data'!A37="","",IF(H37,'Box Library'!$A$4,IF(I37,'Box Library'!$A$5,IF(J37,'Box Library'!$A$6,IF(K37,'Box Library'!$A$7,IF(L37,'Box Library'!$A$8,"NO BOX FITS"))))))</f>
        <v/>
      </c>
      <c r="N37" s="15">
        <f>IF('Product Data'!A37="","",IF(H37,'Box Library'!$G$4,IF(I37,'Box Library'!$G$5,IF(J37,'Box Library'!$G$6,IF(K37,'Box Library'!$G$7,IF(L37,'Box Library'!$G$8,0))))))</f>
        <v/>
      </c>
      <c r="O37" s="16">
        <f>IF('Product Data'!A37="","",IF(M37="NO BOX FITS",0,G37/(IF(H37,'Box Library'!$H$4,IF(I37,'Box Library'!$H$5,IF(J37,'Box Library'!$H$6,IF(K37,'Box Library'!$H$7,'Box Library'!$H$8)))))))</f>
        <v/>
      </c>
      <c r="P37" s="6">
        <f>IF('Product Data'!A37="","",IF(M37="NO BOX FITS","REVIEW - NO STANDARD BOX FITS","OK"))</f>
        <v/>
      </c>
    </row>
    <row r="38">
      <c r="A38" s="13">
        <f>IF('Product Data'!A38="","",'Product Data'!A38)</f>
        <v/>
      </c>
      <c r="B38" s="13">
        <f>IF('Product Data'!A38="","",'Product Data'!B38)</f>
        <v/>
      </c>
      <c r="C38" s="14">
        <f>IF('Product Data'!A38="","",'Product Data'!C38)</f>
        <v/>
      </c>
      <c r="D38" s="14">
        <f>IF('Product Data'!A38="","",'Product Data'!D38)</f>
        <v/>
      </c>
      <c r="E38" s="14">
        <f>IF('Product Data'!A38="","",'Product Data'!E38)</f>
        <v/>
      </c>
      <c r="F38" s="14">
        <f>IF('Product Data'!A38="","",'Product Data'!F38)</f>
        <v/>
      </c>
      <c r="G38" s="9">
        <f>IF('Product Data'!A38="","",C38*D38*E38)</f>
        <v/>
      </c>
      <c r="H38" s="13">
        <f>IF('Product Data'!A38="","",AND($C38&lt;='Box Library'!$C$4,$D38&lt;='Box Library'!$D$4,$E38&lt;='Box Library'!$E$4,$F38&lt;='Box Library'!$F$4))</f>
        <v/>
      </c>
      <c r="I38" s="13">
        <f>IF('Product Data'!A38="","",AND($C38&lt;='Box Library'!$C$5,$D38&lt;='Box Library'!$D$5,$E38&lt;='Box Library'!$E$5,$F38&lt;='Box Library'!$F$5))</f>
        <v/>
      </c>
      <c r="J38" s="13">
        <f>IF('Product Data'!A38="","",AND($C38&lt;='Box Library'!$C$6,$D38&lt;='Box Library'!$D$6,$E38&lt;='Box Library'!$E$6,$F38&lt;='Box Library'!$F$6))</f>
        <v/>
      </c>
      <c r="K38" s="13">
        <f>IF('Product Data'!A38="","",AND($C38&lt;='Box Library'!$C$7,$D38&lt;='Box Library'!$D$7,$E38&lt;='Box Library'!$E$7,$F38&lt;='Box Library'!$F$7))</f>
        <v/>
      </c>
      <c r="L38" s="13">
        <f>IF('Product Data'!A38="","",AND($C38&lt;='Box Library'!$C$8,$D38&lt;='Box Library'!$D$8,$E38&lt;='Box Library'!$E$8,$F38&lt;='Box Library'!$F$8))</f>
        <v/>
      </c>
      <c r="M38" s="13">
        <f>IF('Product Data'!A38="","",IF(H38,'Box Library'!$A$4,IF(I38,'Box Library'!$A$5,IF(J38,'Box Library'!$A$6,IF(K38,'Box Library'!$A$7,IF(L38,'Box Library'!$A$8,"NO BOX FITS"))))))</f>
        <v/>
      </c>
      <c r="N38" s="15">
        <f>IF('Product Data'!A38="","",IF(H38,'Box Library'!$G$4,IF(I38,'Box Library'!$G$5,IF(J38,'Box Library'!$G$6,IF(K38,'Box Library'!$G$7,IF(L38,'Box Library'!$G$8,0))))))</f>
        <v/>
      </c>
      <c r="O38" s="16">
        <f>IF('Product Data'!A38="","",IF(M38="NO BOX FITS",0,G38/(IF(H38,'Box Library'!$H$4,IF(I38,'Box Library'!$H$5,IF(J38,'Box Library'!$H$6,IF(K38,'Box Library'!$H$7,'Box Library'!$H$8)))))))</f>
        <v/>
      </c>
      <c r="P38" s="6">
        <f>IF('Product Data'!A38="","",IF(M38="NO BOX FITS","REVIEW - NO STANDARD BOX FITS","OK"))</f>
        <v/>
      </c>
    </row>
    <row r="39">
      <c r="A39" s="13">
        <f>IF('Product Data'!A39="","",'Product Data'!A39)</f>
        <v/>
      </c>
      <c r="B39" s="13">
        <f>IF('Product Data'!A39="","",'Product Data'!B39)</f>
        <v/>
      </c>
      <c r="C39" s="14">
        <f>IF('Product Data'!A39="","",'Product Data'!C39)</f>
        <v/>
      </c>
      <c r="D39" s="14">
        <f>IF('Product Data'!A39="","",'Product Data'!D39)</f>
        <v/>
      </c>
      <c r="E39" s="14">
        <f>IF('Product Data'!A39="","",'Product Data'!E39)</f>
        <v/>
      </c>
      <c r="F39" s="14">
        <f>IF('Product Data'!A39="","",'Product Data'!F39)</f>
        <v/>
      </c>
      <c r="G39" s="9">
        <f>IF('Product Data'!A39="","",C39*D39*E39)</f>
        <v/>
      </c>
      <c r="H39" s="13">
        <f>IF('Product Data'!A39="","",AND($C39&lt;='Box Library'!$C$4,$D39&lt;='Box Library'!$D$4,$E39&lt;='Box Library'!$E$4,$F39&lt;='Box Library'!$F$4))</f>
        <v/>
      </c>
      <c r="I39" s="13">
        <f>IF('Product Data'!A39="","",AND($C39&lt;='Box Library'!$C$5,$D39&lt;='Box Library'!$D$5,$E39&lt;='Box Library'!$E$5,$F39&lt;='Box Library'!$F$5))</f>
        <v/>
      </c>
      <c r="J39" s="13">
        <f>IF('Product Data'!A39="","",AND($C39&lt;='Box Library'!$C$6,$D39&lt;='Box Library'!$D$6,$E39&lt;='Box Library'!$E$6,$F39&lt;='Box Library'!$F$6))</f>
        <v/>
      </c>
      <c r="K39" s="13">
        <f>IF('Product Data'!A39="","",AND($C39&lt;='Box Library'!$C$7,$D39&lt;='Box Library'!$D$7,$E39&lt;='Box Library'!$E$7,$F39&lt;='Box Library'!$F$7))</f>
        <v/>
      </c>
      <c r="L39" s="13">
        <f>IF('Product Data'!A39="","",AND($C39&lt;='Box Library'!$C$8,$D39&lt;='Box Library'!$D$8,$E39&lt;='Box Library'!$E$8,$F39&lt;='Box Library'!$F$8))</f>
        <v/>
      </c>
      <c r="M39" s="13">
        <f>IF('Product Data'!A39="","",IF(H39,'Box Library'!$A$4,IF(I39,'Box Library'!$A$5,IF(J39,'Box Library'!$A$6,IF(K39,'Box Library'!$A$7,IF(L39,'Box Library'!$A$8,"NO BOX FITS"))))))</f>
        <v/>
      </c>
      <c r="N39" s="15">
        <f>IF('Product Data'!A39="","",IF(H39,'Box Library'!$G$4,IF(I39,'Box Library'!$G$5,IF(J39,'Box Library'!$G$6,IF(K39,'Box Library'!$G$7,IF(L39,'Box Library'!$G$8,0))))))</f>
        <v/>
      </c>
      <c r="O39" s="16">
        <f>IF('Product Data'!A39="","",IF(M39="NO BOX FITS",0,G39/(IF(H39,'Box Library'!$H$4,IF(I39,'Box Library'!$H$5,IF(J39,'Box Library'!$H$6,IF(K39,'Box Library'!$H$7,'Box Library'!$H$8)))))))</f>
        <v/>
      </c>
      <c r="P39" s="6">
        <f>IF('Product Data'!A39="","",IF(M39="NO BOX FITS","REVIEW - NO STANDARD BOX FITS","OK"))</f>
        <v/>
      </c>
    </row>
    <row r="40">
      <c r="A40" s="13">
        <f>IF('Product Data'!A40="","",'Product Data'!A40)</f>
        <v/>
      </c>
      <c r="B40" s="13">
        <f>IF('Product Data'!A40="","",'Product Data'!B40)</f>
        <v/>
      </c>
      <c r="C40" s="14">
        <f>IF('Product Data'!A40="","",'Product Data'!C40)</f>
        <v/>
      </c>
      <c r="D40" s="14">
        <f>IF('Product Data'!A40="","",'Product Data'!D40)</f>
        <v/>
      </c>
      <c r="E40" s="14">
        <f>IF('Product Data'!A40="","",'Product Data'!E40)</f>
        <v/>
      </c>
      <c r="F40" s="14">
        <f>IF('Product Data'!A40="","",'Product Data'!F40)</f>
        <v/>
      </c>
      <c r="G40" s="9">
        <f>IF('Product Data'!A40="","",C40*D40*E40)</f>
        <v/>
      </c>
      <c r="H40" s="13">
        <f>IF('Product Data'!A40="","",AND($C40&lt;='Box Library'!$C$4,$D40&lt;='Box Library'!$D$4,$E40&lt;='Box Library'!$E$4,$F40&lt;='Box Library'!$F$4))</f>
        <v/>
      </c>
      <c r="I40" s="13">
        <f>IF('Product Data'!A40="","",AND($C40&lt;='Box Library'!$C$5,$D40&lt;='Box Library'!$D$5,$E40&lt;='Box Library'!$E$5,$F40&lt;='Box Library'!$F$5))</f>
        <v/>
      </c>
      <c r="J40" s="13">
        <f>IF('Product Data'!A40="","",AND($C40&lt;='Box Library'!$C$6,$D40&lt;='Box Library'!$D$6,$E40&lt;='Box Library'!$E$6,$F40&lt;='Box Library'!$F$6))</f>
        <v/>
      </c>
      <c r="K40" s="13">
        <f>IF('Product Data'!A40="","",AND($C40&lt;='Box Library'!$C$7,$D40&lt;='Box Library'!$D$7,$E40&lt;='Box Library'!$E$7,$F40&lt;='Box Library'!$F$7))</f>
        <v/>
      </c>
      <c r="L40" s="13">
        <f>IF('Product Data'!A40="","",AND($C40&lt;='Box Library'!$C$8,$D40&lt;='Box Library'!$D$8,$E40&lt;='Box Library'!$E$8,$F40&lt;='Box Library'!$F$8))</f>
        <v/>
      </c>
      <c r="M40" s="13">
        <f>IF('Product Data'!A40="","",IF(H40,'Box Library'!$A$4,IF(I40,'Box Library'!$A$5,IF(J40,'Box Library'!$A$6,IF(K40,'Box Library'!$A$7,IF(L40,'Box Library'!$A$8,"NO BOX FITS"))))))</f>
        <v/>
      </c>
      <c r="N40" s="15">
        <f>IF('Product Data'!A40="","",IF(H40,'Box Library'!$G$4,IF(I40,'Box Library'!$G$5,IF(J40,'Box Library'!$G$6,IF(K40,'Box Library'!$G$7,IF(L40,'Box Library'!$G$8,0))))))</f>
        <v/>
      </c>
      <c r="O40" s="16">
        <f>IF('Product Data'!A40="","",IF(M40="NO BOX FITS",0,G40/(IF(H40,'Box Library'!$H$4,IF(I40,'Box Library'!$H$5,IF(J40,'Box Library'!$H$6,IF(K40,'Box Library'!$H$7,'Box Library'!$H$8)))))))</f>
        <v/>
      </c>
      <c r="P40" s="6">
        <f>IF('Product Data'!A40="","",IF(M40="NO BOX FITS","REVIEW - NO STANDARD BOX FITS","OK"))</f>
        <v/>
      </c>
    </row>
    <row r="41">
      <c r="A41" s="13">
        <f>IF('Product Data'!A41="","",'Product Data'!A41)</f>
        <v/>
      </c>
      <c r="B41" s="13">
        <f>IF('Product Data'!A41="","",'Product Data'!B41)</f>
        <v/>
      </c>
      <c r="C41" s="14">
        <f>IF('Product Data'!A41="","",'Product Data'!C41)</f>
        <v/>
      </c>
      <c r="D41" s="14">
        <f>IF('Product Data'!A41="","",'Product Data'!D41)</f>
        <v/>
      </c>
      <c r="E41" s="14">
        <f>IF('Product Data'!A41="","",'Product Data'!E41)</f>
        <v/>
      </c>
      <c r="F41" s="14">
        <f>IF('Product Data'!A41="","",'Product Data'!F41)</f>
        <v/>
      </c>
      <c r="G41" s="9">
        <f>IF('Product Data'!A41="","",C41*D41*E41)</f>
        <v/>
      </c>
      <c r="H41" s="13">
        <f>IF('Product Data'!A41="","",AND($C41&lt;='Box Library'!$C$4,$D41&lt;='Box Library'!$D$4,$E41&lt;='Box Library'!$E$4,$F41&lt;='Box Library'!$F$4))</f>
        <v/>
      </c>
      <c r="I41" s="13">
        <f>IF('Product Data'!A41="","",AND($C41&lt;='Box Library'!$C$5,$D41&lt;='Box Library'!$D$5,$E41&lt;='Box Library'!$E$5,$F41&lt;='Box Library'!$F$5))</f>
        <v/>
      </c>
      <c r="J41" s="13">
        <f>IF('Product Data'!A41="","",AND($C41&lt;='Box Library'!$C$6,$D41&lt;='Box Library'!$D$6,$E41&lt;='Box Library'!$E$6,$F41&lt;='Box Library'!$F$6))</f>
        <v/>
      </c>
      <c r="K41" s="13">
        <f>IF('Product Data'!A41="","",AND($C41&lt;='Box Library'!$C$7,$D41&lt;='Box Library'!$D$7,$E41&lt;='Box Library'!$E$7,$F41&lt;='Box Library'!$F$7))</f>
        <v/>
      </c>
      <c r="L41" s="13">
        <f>IF('Product Data'!A41="","",AND($C41&lt;='Box Library'!$C$8,$D41&lt;='Box Library'!$D$8,$E41&lt;='Box Library'!$E$8,$F41&lt;='Box Library'!$F$8))</f>
        <v/>
      </c>
      <c r="M41" s="13">
        <f>IF('Product Data'!A41="","",IF(H41,'Box Library'!$A$4,IF(I41,'Box Library'!$A$5,IF(J41,'Box Library'!$A$6,IF(K41,'Box Library'!$A$7,IF(L41,'Box Library'!$A$8,"NO BOX FITS"))))))</f>
        <v/>
      </c>
      <c r="N41" s="15">
        <f>IF('Product Data'!A41="","",IF(H41,'Box Library'!$G$4,IF(I41,'Box Library'!$G$5,IF(J41,'Box Library'!$G$6,IF(K41,'Box Library'!$G$7,IF(L41,'Box Library'!$G$8,0))))))</f>
        <v/>
      </c>
      <c r="O41" s="16">
        <f>IF('Product Data'!A41="","",IF(M41="NO BOX FITS",0,G41/(IF(H41,'Box Library'!$H$4,IF(I41,'Box Library'!$H$5,IF(J41,'Box Library'!$H$6,IF(K41,'Box Library'!$H$7,'Box Library'!$H$8)))))))</f>
        <v/>
      </c>
      <c r="P41" s="6">
        <f>IF('Product Data'!A41="","",IF(M41="NO BOX FITS","REVIEW - NO STANDARD BOX FITS","OK"))</f>
        <v/>
      </c>
    </row>
    <row r="42">
      <c r="A42" s="13">
        <f>IF('Product Data'!A42="","",'Product Data'!A42)</f>
        <v/>
      </c>
      <c r="B42" s="13">
        <f>IF('Product Data'!A42="","",'Product Data'!B42)</f>
        <v/>
      </c>
      <c r="C42" s="14">
        <f>IF('Product Data'!A42="","",'Product Data'!C42)</f>
        <v/>
      </c>
      <c r="D42" s="14">
        <f>IF('Product Data'!A42="","",'Product Data'!D42)</f>
        <v/>
      </c>
      <c r="E42" s="14">
        <f>IF('Product Data'!A42="","",'Product Data'!E42)</f>
        <v/>
      </c>
      <c r="F42" s="14">
        <f>IF('Product Data'!A42="","",'Product Data'!F42)</f>
        <v/>
      </c>
      <c r="G42" s="9">
        <f>IF('Product Data'!A42="","",C42*D42*E42)</f>
        <v/>
      </c>
      <c r="H42" s="13">
        <f>IF('Product Data'!A42="","",AND($C42&lt;='Box Library'!$C$4,$D42&lt;='Box Library'!$D$4,$E42&lt;='Box Library'!$E$4,$F42&lt;='Box Library'!$F$4))</f>
        <v/>
      </c>
      <c r="I42" s="13">
        <f>IF('Product Data'!A42="","",AND($C42&lt;='Box Library'!$C$5,$D42&lt;='Box Library'!$D$5,$E42&lt;='Box Library'!$E$5,$F42&lt;='Box Library'!$F$5))</f>
        <v/>
      </c>
      <c r="J42" s="13">
        <f>IF('Product Data'!A42="","",AND($C42&lt;='Box Library'!$C$6,$D42&lt;='Box Library'!$D$6,$E42&lt;='Box Library'!$E$6,$F42&lt;='Box Library'!$F$6))</f>
        <v/>
      </c>
      <c r="K42" s="13">
        <f>IF('Product Data'!A42="","",AND($C42&lt;='Box Library'!$C$7,$D42&lt;='Box Library'!$D$7,$E42&lt;='Box Library'!$E$7,$F42&lt;='Box Library'!$F$7))</f>
        <v/>
      </c>
      <c r="L42" s="13">
        <f>IF('Product Data'!A42="","",AND($C42&lt;='Box Library'!$C$8,$D42&lt;='Box Library'!$D$8,$E42&lt;='Box Library'!$E$8,$F42&lt;='Box Library'!$F$8))</f>
        <v/>
      </c>
      <c r="M42" s="13">
        <f>IF('Product Data'!A42="","",IF(H42,'Box Library'!$A$4,IF(I42,'Box Library'!$A$5,IF(J42,'Box Library'!$A$6,IF(K42,'Box Library'!$A$7,IF(L42,'Box Library'!$A$8,"NO BOX FITS"))))))</f>
        <v/>
      </c>
      <c r="N42" s="15">
        <f>IF('Product Data'!A42="","",IF(H42,'Box Library'!$G$4,IF(I42,'Box Library'!$G$5,IF(J42,'Box Library'!$G$6,IF(K42,'Box Library'!$G$7,IF(L42,'Box Library'!$G$8,0))))))</f>
        <v/>
      </c>
      <c r="O42" s="16">
        <f>IF('Product Data'!A42="","",IF(M42="NO BOX FITS",0,G42/(IF(H42,'Box Library'!$H$4,IF(I42,'Box Library'!$H$5,IF(J42,'Box Library'!$H$6,IF(K42,'Box Library'!$H$7,'Box Library'!$H$8)))))))</f>
        <v/>
      </c>
      <c r="P42" s="6">
        <f>IF('Product Data'!A42="","",IF(M42="NO BOX FITS","REVIEW - NO STANDARD BOX FITS","OK"))</f>
        <v/>
      </c>
    </row>
    <row r="43">
      <c r="A43" s="13">
        <f>IF('Product Data'!A43="","",'Product Data'!A43)</f>
        <v/>
      </c>
      <c r="B43" s="13">
        <f>IF('Product Data'!A43="","",'Product Data'!B43)</f>
        <v/>
      </c>
      <c r="C43" s="14">
        <f>IF('Product Data'!A43="","",'Product Data'!C43)</f>
        <v/>
      </c>
      <c r="D43" s="14">
        <f>IF('Product Data'!A43="","",'Product Data'!D43)</f>
        <v/>
      </c>
      <c r="E43" s="14">
        <f>IF('Product Data'!A43="","",'Product Data'!E43)</f>
        <v/>
      </c>
      <c r="F43" s="14">
        <f>IF('Product Data'!A43="","",'Product Data'!F43)</f>
        <v/>
      </c>
      <c r="G43" s="9">
        <f>IF('Product Data'!A43="","",C43*D43*E43)</f>
        <v/>
      </c>
      <c r="H43" s="13">
        <f>IF('Product Data'!A43="","",AND($C43&lt;='Box Library'!$C$4,$D43&lt;='Box Library'!$D$4,$E43&lt;='Box Library'!$E$4,$F43&lt;='Box Library'!$F$4))</f>
        <v/>
      </c>
      <c r="I43" s="13">
        <f>IF('Product Data'!A43="","",AND($C43&lt;='Box Library'!$C$5,$D43&lt;='Box Library'!$D$5,$E43&lt;='Box Library'!$E$5,$F43&lt;='Box Library'!$F$5))</f>
        <v/>
      </c>
      <c r="J43" s="13">
        <f>IF('Product Data'!A43="","",AND($C43&lt;='Box Library'!$C$6,$D43&lt;='Box Library'!$D$6,$E43&lt;='Box Library'!$E$6,$F43&lt;='Box Library'!$F$6))</f>
        <v/>
      </c>
      <c r="K43" s="13">
        <f>IF('Product Data'!A43="","",AND($C43&lt;='Box Library'!$C$7,$D43&lt;='Box Library'!$D$7,$E43&lt;='Box Library'!$E$7,$F43&lt;='Box Library'!$F$7))</f>
        <v/>
      </c>
      <c r="L43" s="13">
        <f>IF('Product Data'!A43="","",AND($C43&lt;='Box Library'!$C$8,$D43&lt;='Box Library'!$D$8,$E43&lt;='Box Library'!$E$8,$F43&lt;='Box Library'!$F$8))</f>
        <v/>
      </c>
      <c r="M43" s="13">
        <f>IF('Product Data'!A43="","",IF(H43,'Box Library'!$A$4,IF(I43,'Box Library'!$A$5,IF(J43,'Box Library'!$A$6,IF(K43,'Box Library'!$A$7,IF(L43,'Box Library'!$A$8,"NO BOX FITS"))))))</f>
        <v/>
      </c>
      <c r="N43" s="15">
        <f>IF('Product Data'!A43="","",IF(H43,'Box Library'!$G$4,IF(I43,'Box Library'!$G$5,IF(J43,'Box Library'!$G$6,IF(K43,'Box Library'!$G$7,IF(L43,'Box Library'!$G$8,0))))))</f>
        <v/>
      </c>
      <c r="O43" s="16">
        <f>IF('Product Data'!A43="","",IF(M43="NO BOX FITS",0,G43/(IF(H43,'Box Library'!$H$4,IF(I43,'Box Library'!$H$5,IF(J43,'Box Library'!$H$6,IF(K43,'Box Library'!$H$7,'Box Library'!$H$8)))))))</f>
        <v/>
      </c>
      <c r="P43" s="6">
        <f>IF('Product Data'!A43="","",IF(M43="NO BOX FITS","REVIEW - NO STANDARD BOX FITS","OK"))</f>
        <v/>
      </c>
    </row>
    <row r="44">
      <c r="A44" s="13">
        <f>IF('Product Data'!A44="","",'Product Data'!A44)</f>
        <v/>
      </c>
      <c r="B44" s="13">
        <f>IF('Product Data'!A44="","",'Product Data'!B44)</f>
        <v/>
      </c>
      <c r="C44" s="14">
        <f>IF('Product Data'!A44="","",'Product Data'!C44)</f>
        <v/>
      </c>
      <c r="D44" s="14">
        <f>IF('Product Data'!A44="","",'Product Data'!D44)</f>
        <v/>
      </c>
      <c r="E44" s="14">
        <f>IF('Product Data'!A44="","",'Product Data'!E44)</f>
        <v/>
      </c>
      <c r="F44" s="14">
        <f>IF('Product Data'!A44="","",'Product Data'!F44)</f>
        <v/>
      </c>
      <c r="G44" s="9">
        <f>IF('Product Data'!A44="","",C44*D44*E44)</f>
        <v/>
      </c>
      <c r="H44" s="13">
        <f>IF('Product Data'!A44="","",AND($C44&lt;='Box Library'!$C$4,$D44&lt;='Box Library'!$D$4,$E44&lt;='Box Library'!$E$4,$F44&lt;='Box Library'!$F$4))</f>
        <v/>
      </c>
      <c r="I44" s="13">
        <f>IF('Product Data'!A44="","",AND($C44&lt;='Box Library'!$C$5,$D44&lt;='Box Library'!$D$5,$E44&lt;='Box Library'!$E$5,$F44&lt;='Box Library'!$F$5))</f>
        <v/>
      </c>
      <c r="J44" s="13">
        <f>IF('Product Data'!A44="","",AND($C44&lt;='Box Library'!$C$6,$D44&lt;='Box Library'!$D$6,$E44&lt;='Box Library'!$E$6,$F44&lt;='Box Library'!$F$6))</f>
        <v/>
      </c>
      <c r="K44" s="13">
        <f>IF('Product Data'!A44="","",AND($C44&lt;='Box Library'!$C$7,$D44&lt;='Box Library'!$D$7,$E44&lt;='Box Library'!$E$7,$F44&lt;='Box Library'!$F$7))</f>
        <v/>
      </c>
      <c r="L44" s="13">
        <f>IF('Product Data'!A44="","",AND($C44&lt;='Box Library'!$C$8,$D44&lt;='Box Library'!$D$8,$E44&lt;='Box Library'!$E$8,$F44&lt;='Box Library'!$F$8))</f>
        <v/>
      </c>
      <c r="M44" s="13">
        <f>IF('Product Data'!A44="","",IF(H44,'Box Library'!$A$4,IF(I44,'Box Library'!$A$5,IF(J44,'Box Library'!$A$6,IF(K44,'Box Library'!$A$7,IF(L44,'Box Library'!$A$8,"NO BOX FITS"))))))</f>
        <v/>
      </c>
      <c r="N44" s="15">
        <f>IF('Product Data'!A44="","",IF(H44,'Box Library'!$G$4,IF(I44,'Box Library'!$G$5,IF(J44,'Box Library'!$G$6,IF(K44,'Box Library'!$G$7,IF(L44,'Box Library'!$G$8,0))))))</f>
        <v/>
      </c>
      <c r="O44" s="16">
        <f>IF('Product Data'!A44="","",IF(M44="NO BOX FITS",0,G44/(IF(H44,'Box Library'!$H$4,IF(I44,'Box Library'!$H$5,IF(J44,'Box Library'!$H$6,IF(K44,'Box Library'!$H$7,'Box Library'!$H$8)))))))</f>
        <v/>
      </c>
      <c r="P44" s="6">
        <f>IF('Product Data'!A44="","",IF(M44="NO BOX FITS","REVIEW - NO STANDARD BOX FITS","OK"))</f>
        <v/>
      </c>
    </row>
    <row r="45">
      <c r="A45" s="13">
        <f>IF('Product Data'!A45="","",'Product Data'!A45)</f>
        <v/>
      </c>
      <c r="B45" s="13">
        <f>IF('Product Data'!A45="","",'Product Data'!B45)</f>
        <v/>
      </c>
      <c r="C45" s="14">
        <f>IF('Product Data'!A45="","",'Product Data'!C45)</f>
        <v/>
      </c>
      <c r="D45" s="14">
        <f>IF('Product Data'!A45="","",'Product Data'!D45)</f>
        <v/>
      </c>
      <c r="E45" s="14">
        <f>IF('Product Data'!A45="","",'Product Data'!E45)</f>
        <v/>
      </c>
      <c r="F45" s="14">
        <f>IF('Product Data'!A45="","",'Product Data'!F45)</f>
        <v/>
      </c>
      <c r="G45" s="9">
        <f>IF('Product Data'!A45="","",C45*D45*E45)</f>
        <v/>
      </c>
      <c r="H45" s="13">
        <f>IF('Product Data'!A45="","",AND($C45&lt;='Box Library'!$C$4,$D45&lt;='Box Library'!$D$4,$E45&lt;='Box Library'!$E$4,$F45&lt;='Box Library'!$F$4))</f>
        <v/>
      </c>
      <c r="I45" s="13">
        <f>IF('Product Data'!A45="","",AND($C45&lt;='Box Library'!$C$5,$D45&lt;='Box Library'!$D$5,$E45&lt;='Box Library'!$E$5,$F45&lt;='Box Library'!$F$5))</f>
        <v/>
      </c>
      <c r="J45" s="13">
        <f>IF('Product Data'!A45="","",AND($C45&lt;='Box Library'!$C$6,$D45&lt;='Box Library'!$D$6,$E45&lt;='Box Library'!$E$6,$F45&lt;='Box Library'!$F$6))</f>
        <v/>
      </c>
      <c r="K45" s="13">
        <f>IF('Product Data'!A45="","",AND($C45&lt;='Box Library'!$C$7,$D45&lt;='Box Library'!$D$7,$E45&lt;='Box Library'!$E$7,$F45&lt;='Box Library'!$F$7))</f>
        <v/>
      </c>
      <c r="L45" s="13">
        <f>IF('Product Data'!A45="","",AND($C45&lt;='Box Library'!$C$8,$D45&lt;='Box Library'!$D$8,$E45&lt;='Box Library'!$E$8,$F45&lt;='Box Library'!$F$8))</f>
        <v/>
      </c>
      <c r="M45" s="13">
        <f>IF('Product Data'!A45="","",IF(H45,'Box Library'!$A$4,IF(I45,'Box Library'!$A$5,IF(J45,'Box Library'!$A$6,IF(K45,'Box Library'!$A$7,IF(L45,'Box Library'!$A$8,"NO BOX FITS"))))))</f>
        <v/>
      </c>
      <c r="N45" s="15">
        <f>IF('Product Data'!A45="","",IF(H45,'Box Library'!$G$4,IF(I45,'Box Library'!$G$5,IF(J45,'Box Library'!$G$6,IF(K45,'Box Library'!$G$7,IF(L45,'Box Library'!$G$8,0))))))</f>
        <v/>
      </c>
      <c r="O45" s="16">
        <f>IF('Product Data'!A45="","",IF(M45="NO BOX FITS",0,G45/(IF(H45,'Box Library'!$H$4,IF(I45,'Box Library'!$H$5,IF(J45,'Box Library'!$H$6,IF(K45,'Box Library'!$H$7,'Box Library'!$H$8)))))))</f>
        <v/>
      </c>
      <c r="P45" s="6">
        <f>IF('Product Data'!A45="","",IF(M45="NO BOX FITS","REVIEW - NO STANDARD BOX FITS","OK"))</f>
        <v/>
      </c>
    </row>
    <row r="46">
      <c r="A46" s="13">
        <f>IF('Product Data'!A46="","",'Product Data'!A46)</f>
        <v/>
      </c>
      <c r="B46" s="13">
        <f>IF('Product Data'!A46="","",'Product Data'!B46)</f>
        <v/>
      </c>
      <c r="C46" s="14">
        <f>IF('Product Data'!A46="","",'Product Data'!C46)</f>
        <v/>
      </c>
      <c r="D46" s="14">
        <f>IF('Product Data'!A46="","",'Product Data'!D46)</f>
        <v/>
      </c>
      <c r="E46" s="14">
        <f>IF('Product Data'!A46="","",'Product Data'!E46)</f>
        <v/>
      </c>
      <c r="F46" s="14">
        <f>IF('Product Data'!A46="","",'Product Data'!F46)</f>
        <v/>
      </c>
      <c r="G46" s="9">
        <f>IF('Product Data'!A46="","",C46*D46*E46)</f>
        <v/>
      </c>
      <c r="H46" s="13">
        <f>IF('Product Data'!A46="","",AND($C46&lt;='Box Library'!$C$4,$D46&lt;='Box Library'!$D$4,$E46&lt;='Box Library'!$E$4,$F46&lt;='Box Library'!$F$4))</f>
        <v/>
      </c>
      <c r="I46" s="13">
        <f>IF('Product Data'!A46="","",AND($C46&lt;='Box Library'!$C$5,$D46&lt;='Box Library'!$D$5,$E46&lt;='Box Library'!$E$5,$F46&lt;='Box Library'!$F$5))</f>
        <v/>
      </c>
      <c r="J46" s="13">
        <f>IF('Product Data'!A46="","",AND($C46&lt;='Box Library'!$C$6,$D46&lt;='Box Library'!$D$6,$E46&lt;='Box Library'!$E$6,$F46&lt;='Box Library'!$F$6))</f>
        <v/>
      </c>
      <c r="K46" s="13">
        <f>IF('Product Data'!A46="","",AND($C46&lt;='Box Library'!$C$7,$D46&lt;='Box Library'!$D$7,$E46&lt;='Box Library'!$E$7,$F46&lt;='Box Library'!$F$7))</f>
        <v/>
      </c>
      <c r="L46" s="13">
        <f>IF('Product Data'!A46="","",AND($C46&lt;='Box Library'!$C$8,$D46&lt;='Box Library'!$D$8,$E46&lt;='Box Library'!$E$8,$F46&lt;='Box Library'!$F$8))</f>
        <v/>
      </c>
      <c r="M46" s="13">
        <f>IF('Product Data'!A46="","",IF(H46,'Box Library'!$A$4,IF(I46,'Box Library'!$A$5,IF(J46,'Box Library'!$A$6,IF(K46,'Box Library'!$A$7,IF(L46,'Box Library'!$A$8,"NO BOX FITS"))))))</f>
        <v/>
      </c>
      <c r="N46" s="15">
        <f>IF('Product Data'!A46="","",IF(H46,'Box Library'!$G$4,IF(I46,'Box Library'!$G$5,IF(J46,'Box Library'!$G$6,IF(K46,'Box Library'!$G$7,IF(L46,'Box Library'!$G$8,0))))))</f>
        <v/>
      </c>
      <c r="O46" s="16">
        <f>IF('Product Data'!A46="","",IF(M46="NO BOX FITS",0,G46/(IF(H46,'Box Library'!$H$4,IF(I46,'Box Library'!$H$5,IF(J46,'Box Library'!$H$6,IF(K46,'Box Library'!$H$7,'Box Library'!$H$8)))))))</f>
        <v/>
      </c>
      <c r="P46" s="6">
        <f>IF('Product Data'!A46="","",IF(M46="NO BOX FITS","REVIEW - NO STANDARD BOX FITS","OK"))</f>
        <v/>
      </c>
    </row>
    <row r="47">
      <c r="A47" s="13">
        <f>IF('Product Data'!A47="","",'Product Data'!A47)</f>
        <v/>
      </c>
      <c r="B47" s="13">
        <f>IF('Product Data'!A47="","",'Product Data'!B47)</f>
        <v/>
      </c>
      <c r="C47" s="14">
        <f>IF('Product Data'!A47="","",'Product Data'!C47)</f>
        <v/>
      </c>
      <c r="D47" s="14">
        <f>IF('Product Data'!A47="","",'Product Data'!D47)</f>
        <v/>
      </c>
      <c r="E47" s="14">
        <f>IF('Product Data'!A47="","",'Product Data'!E47)</f>
        <v/>
      </c>
      <c r="F47" s="14">
        <f>IF('Product Data'!A47="","",'Product Data'!F47)</f>
        <v/>
      </c>
      <c r="G47" s="9">
        <f>IF('Product Data'!A47="","",C47*D47*E47)</f>
        <v/>
      </c>
      <c r="H47" s="13">
        <f>IF('Product Data'!A47="","",AND($C47&lt;='Box Library'!$C$4,$D47&lt;='Box Library'!$D$4,$E47&lt;='Box Library'!$E$4,$F47&lt;='Box Library'!$F$4))</f>
        <v/>
      </c>
      <c r="I47" s="13">
        <f>IF('Product Data'!A47="","",AND($C47&lt;='Box Library'!$C$5,$D47&lt;='Box Library'!$D$5,$E47&lt;='Box Library'!$E$5,$F47&lt;='Box Library'!$F$5))</f>
        <v/>
      </c>
      <c r="J47" s="13">
        <f>IF('Product Data'!A47="","",AND($C47&lt;='Box Library'!$C$6,$D47&lt;='Box Library'!$D$6,$E47&lt;='Box Library'!$E$6,$F47&lt;='Box Library'!$F$6))</f>
        <v/>
      </c>
      <c r="K47" s="13">
        <f>IF('Product Data'!A47="","",AND($C47&lt;='Box Library'!$C$7,$D47&lt;='Box Library'!$D$7,$E47&lt;='Box Library'!$E$7,$F47&lt;='Box Library'!$F$7))</f>
        <v/>
      </c>
      <c r="L47" s="13">
        <f>IF('Product Data'!A47="","",AND($C47&lt;='Box Library'!$C$8,$D47&lt;='Box Library'!$D$8,$E47&lt;='Box Library'!$E$8,$F47&lt;='Box Library'!$F$8))</f>
        <v/>
      </c>
      <c r="M47" s="13">
        <f>IF('Product Data'!A47="","",IF(H47,'Box Library'!$A$4,IF(I47,'Box Library'!$A$5,IF(J47,'Box Library'!$A$6,IF(K47,'Box Library'!$A$7,IF(L47,'Box Library'!$A$8,"NO BOX FITS"))))))</f>
        <v/>
      </c>
      <c r="N47" s="15">
        <f>IF('Product Data'!A47="","",IF(H47,'Box Library'!$G$4,IF(I47,'Box Library'!$G$5,IF(J47,'Box Library'!$G$6,IF(K47,'Box Library'!$G$7,IF(L47,'Box Library'!$G$8,0))))))</f>
        <v/>
      </c>
      <c r="O47" s="16">
        <f>IF('Product Data'!A47="","",IF(M47="NO BOX FITS",0,G47/(IF(H47,'Box Library'!$H$4,IF(I47,'Box Library'!$H$5,IF(J47,'Box Library'!$H$6,IF(K47,'Box Library'!$H$7,'Box Library'!$H$8)))))))</f>
        <v/>
      </c>
      <c r="P47" s="6">
        <f>IF('Product Data'!A47="","",IF(M47="NO BOX FITS","REVIEW - NO STANDARD BOX FITS","OK"))</f>
        <v/>
      </c>
    </row>
    <row r="48">
      <c r="A48" s="13">
        <f>IF('Product Data'!A48="","",'Product Data'!A48)</f>
        <v/>
      </c>
      <c r="B48" s="13">
        <f>IF('Product Data'!A48="","",'Product Data'!B48)</f>
        <v/>
      </c>
      <c r="C48" s="14">
        <f>IF('Product Data'!A48="","",'Product Data'!C48)</f>
        <v/>
      </c>
      <c r="D48" s="14">
        <f>IF('Product Data'!A48="","",'Product Data'!D48)</f>
        <v/>
      </c>
      <c r="E48" s="14">
        <f>IF('Product Data'!A48="","",'Product Data'!E48)</f>
        <v/>
      </c>
      <c r="F48" s="14">
        <f>IF('Product Data'!A48="","",'Product Data'!F48)</f>
        <v/>
      </c>
      <c r="G48" s="9">
        <f>IF('Product Data'!A48="","",C48*D48*E48)</f>
        <v/>
      </c>
      <c r="H48" s="13">
        <f>IF('Product Data'!A48="","",AND($C48&lt;='Box Library'!$C$4,$D48&lt;='Box Library'!$D$4,$E48&lt;='Box Library'!$E$4,$F48&lt;='Box Library'!$F$4))</f>
        <v/>
      </c>
      <c r="I48" s="13">
        <f>IF('Product Data'!A48="","",AND($C48&lt;='Box Library'!$C$5,$D48&lt;='Box Library'!$D$5,$E48&lt;='Box Library'!$E$5,$F48&lt;='Box Library'!$F$5))</f>
        <v/>
      </c>
      <c r="J48" s="13">
        <f>IF('Product Data'!A48="","",AND($C48&lt;='Box Library'!$C$6,$D48&lt;='Box Library'!$D$6,$E48&lt;='Box Library'!$E$6,$F48&lt;='Box Library'!$F$6))</f>
        <v/>
      </c>
      <c r="K48" s="13">
        <f>IF('Product Data'!A48="","",AND($C48&lt;='Box Library'!$C$7,$D48&lt;='Box Library'!$D$7,$E48&lt;='Box Library'!$E$7,$F48&lt;='Box Library'!$F$7))</f>
        <v/>
      </c>
      <c r="L48" s="13">
        <f>IF('Product Data'!A48="","",AND($C48&lt;='Box Library'!$C$8,$D48&lt;='Box Library'!$D$8,$E48&lt;='Box Library'!$E$8,$F48&lt;='Box Library'!$F$8))</f>
        <v/>
      </c>
      <c r="M48" s="13">
        <f>IF('Product Data'!A48="","",IF(H48,'Box Library'!$A$4,IF(I48,'Box Library'!$A$5,IF(J48,'Box Library'!$A$6,IF(K48,'Box Library'!$A$7,IF(L48,'Box Library'!$A$8,"NO BOX FITS"))))))</f>
        <v/>
      </c>
      <c r="N48" s="15">
        <f>IF('Product Data'!A48="","",IF(H48,'Box Library'!$G$4,IF(I48,'Box Library'!$G$5,IF(J48,'Box Library'!$G$6,IF(K48,'Box Library'!$G$7,IF(L48,'Box Library'!$G$8,0))))))</f>
        <v/>
      </c>
      <c r="O48" s="16">
        <f>IF('Product Data'!A48="","",IF(M48="NO BOX FITS",0,G48/(IF(H48,'Box Library'!$H$4,IF(I48,'Box Library'!$H$5,IF(J48,'Box Library'!$H$6,IF(K48,'Box Library'!$H$7,'Box Library'!$H$8)))))))</f>
        <v/>
      </c>
      <c r="P48" s="6">
        <f>IF('Product Data'!A48="","",IF(M48="NO BOX FITS","REVIEW - NO STANDARD BOX FITS","OK"))</f>
        <v/>
      </c>
    </row>
    <row r="49">
      <c r="A49" s="13">
        <f>IF('Product Data'!A49="","",'Product Data'!A49)</f>
        <v/>
      </c>
      <c r="B49" s="13">
        <f>IF('Product Data'!A49="","",'Product Data'!B49)</f>
        <v/>
      </c>
      <c r="C49" s="14">
        <f>IF('Product Data'!A49="","",'Product Data'!C49)</f>
        <v/>
      </c>
      <c r="D49" s="14">
        <f>IF('Product Data'!A49="","",'Product Data'!D49)</f>
        <v/>
      </c>
      <c r="E49" s="14">
        <f>IF('Product Data'!A49="","",'Product Data'!E49)</f>
        <v/>
      </c>
      <c r="F49" s="14">
        <f>IF('Product Data'!A49="","",'Product Data'!F49)</f>
        <v/>
      </c>
      <c r="G49" s="9">
        <f>IF('Product Data'!A49="","",C49*D49*E49)</f>
        <v/>
      </c>
      <c r="H49" s="13">
        <f>IF('Product Data'!A49="","",AND($C49&lt;='Box Library'!$C$4,$D49&lt;='Box Library'!$D$4,$E49&lt;='Box Library'!$E$4,$F49&lt;='Box Library'!$F$4))</f>
        <v/>
      </c>
      <c r="I49" s="13">
        <f>IF('Product Data'!A49="","",AND($C49&lt;='Box Library'!$C$5,$D49&lt;='Box Library'!$D$5,$E49&lt;='Box Library'!$E$5,$F49&lt;='Box Library'!$F$5))</f>
        <v/>
      </c>
      <c r="J49" s="13">
        <f>IF('Product Data'!A49="","",AND($C49&lt;='Box Library'!$C$6,$D49&lt;='Box Library'!$D$6,$E49&lt;='Box Library'!$E$6,$F49&lt;='Box Library'!$F$6))</f>
        <v/>
      </c>
      <c r="K49" s="13">
        <f>IF('Product Data'!A49="","",AND($C49&lt;='Box Library'!$C$7,$D49&lt;='Box Library'!$D$7,$E49&lt;='Box Library'!$E$7,$F49&lt;='Box Library'!$F$7))</f>
        <v/>
      </c>
      <c r="L49" s="13">
        <f>IF('Product Data'!A49="","",AND($C49&lt;='Box Library'!$C$8,$D49&lt;='Box Library'!$D$8,$E49&lt;='Box Library'!$E$8,$F49&lt;='Box Library'!$F$8))</f>
        <v/>
      </c>
      <c r="M49" s="13">
        <f>IF('Product Data'!A49="","",IF(H49,'Box Library'!$A$4,IF(I49,'Box Library'!$A$5,IF(J49,'Box Library'!$A$6,IF(K49,'Box Library'!$A$7,IF(L49,'Box Library'!$A$8,"NO BOX FITS"))))))</f>
        <v/>
      </c>
      <c r="N49" s="15">
        <f>IF('Product Data'!A49="","",IF(H49,'Box Library'!$G$4,IF(I49,'Box Library'!$G$5,IF(J49,'Box Library'!$G$6,IF(K49,'Box Library'!$G$7,IF(L49,'Box Library'!$G$8,0))))))</f>
        <v/>
      </c>
      <c r="O49" s="16">
        <f>IF('Product Data'!A49="","",IF(M49="NO BOX FITS",0,G49/(IF(H49,'Box Library'!$H$4,IF(I49,'Box Library'!$H$5,IF(J49,'Box Library'!$H$6,IF(K49,'Box Library'!$H$7,'Box Library'!$H$8)))))))</f>
        <v/>
      </c>
      <c r="P49" s="6">
        <f>IF('Product Data'!A49="","",IF(M49="NO BOX FITS","REVIEW - NO STANDARD BOX FITS","OK"))</f>
        <v/>
      </c>
    </row>
    <row r="50">
      <c r="A50" s="13">
        <f>IF('Product Data'!A50="","",'Product Data'!A50)</f>
        <v/>
      </c>
      <c r="B50" s="13">
        <f>IF('Product Data'!A50="","",'Product Data'!B50)</f>
        <v/>
      </c>
      <c r="C50" s="14">
        <f>IF('Product Data'!A50="","",'Product Data'!C50)</f>
        <v/>
      </c>
      <c r="D50" s="14">
        <f>IF('Product Data'!A50="","",'Product Data'!D50)</f>
        <v/>
      </c>
      <c r="E50" s="14">
        <f>IF('Product Data'!A50="","",'Product Data'!E50)</f>
        <v/>
      </c>
      <c r="F50" s="14">
        <f>IF('Product Data'!A50="","",'Product Data'!F50)</f>
        <v/>
      </c>
      <c r="G50" s="9">
        <f>IF('Product Data'!A50="","",C50*D50*E50)</f>
        <v/>
      </c>
      <c r="H50" s="13">
        <f>IF('Product Data'!A50="","",AND($C50&lt;='Box Library'!$C$4,$D50&lt;='Box Library'!$D$4,$E50&lt;='Box Library'!$E$4,$F50&lt;='Box Library'!$F$4))</f>
        <v/>
      </c>
      <c r="I50" s="13">
        <f>IF('Product Data'!A50="","",AND($C50&lt;='Box Library'!$C$5,$D50&lt;='Box Library'!$D$5,$E50&lt;='Box Library'!$E$5,$F50&lt;='Box Library'!$F$5))</f>
        <v/>
      </c>
      <c r="J50" s="13">
        <f>IF('Product Data'!A50="","",AND($C50&lt;='Box Library'!$C$6,$D50&lt;='Box Library'!$D$6,$E50&lt;='Box Library'!$E$6,$F50&lt;='Box Library'!$F$6))</f>
        <v/>
      </c>
      <c r="K50" s="13">
        <f>IF('Product Data'!A50="","",AND($C50&lt;='Box Library'!$C$7,$D50&lt;='Box Library'!$D$7,$E50&lt;='Box Library'!$E$7,$F50&lt;='Box Library'!$F$7))</f>
        <v/>
      </c>
      <c r="L50" s="13">
        <f>IF('Product Data'!A50="","",AND($C50&lt;='Box Library'!$C$8,$D50&lt;='Box Library'!$D$8,$E50&lt;='Box Library'!$E$8,$F50&lt;='Box Library'!$F$8))</f>
        <v/>
      </c>
      <c r="M50" s="13">
        <f>IF('Product Data'!A50="","",IF(H50,'Box Library'!$A$4,IF(I50,'Box Library'!$A$5,IF(J50,'Box Library'!$A$6,IF(K50,'Box Library'!$A$7,IF(L50,'Box Library'!$A$8,"NO BOX FITS"))))))</f>
        <v/>
      </c>
      <c r="N50" s="15">
        <f>IF('Product Data'!A50="","",IF(H50,'Box Library'!$G$4,IF(I50,'Box Library'!$G$5,IF(J50,'Box Library'!$G$6,IF(K50,'Box Library'!$G$7,IF(L50,'Box Library'!$G$8,0))))))</f>
        <v/>
      </c>
      <c r="O50" s="16">
        <f>IF('Product Data'!A50="","",IF(M50="NO BOX FITS",0,G50/(IF(H50,'Box Library'!$H$4,IF(I50,'Box Library'!$H$5,IF(J50,'Box Library'!$H$6,IF(K50,'Box Library'!$H$7,'Box Library'!$H$8)))))))</f>
        <v/>
      </c>
      <c r="P50" s="6">
        <f>IF('Product Data'!A50="","",IF(M50="NO BOX FITS","REVIEW - NO STANDARD BOX FITS","OK"))</f>
        <v/>
      </c>
    </row>
    <row r="51">
      <c r="A51" s="13">
        <f>IF('Product Data'!A51="","",'Product Data'!A51)</f>
        <v/>
      </c>
      <c r="B51" s="13">
        <f>IF('Product Data'!A51="","",'Product Data'!B51)</f>
        <v/>
      </c>
      <c r="C51" s="14">
        <f>IF('Product Data'!A51="","",'Product Data'!C51)</f>
        <v/>
      </c>
      <c r="D51" s="14">
        <f>IF('Product Data'!A51="","",'Product Data'!D51)</f>
        <v/>
      </c>
      <c r="E51" s="14">
        <f>IF('Product Data'!A51="","",'Product Data'!E51)</f>
        <v/>
      </c>
      <c r="F51" s="14">
        <f>IF('Product Data'!A51="","",'Product Data'!F51)</f>
        <v/>
      </c>
      <c r="G51" s="9">
        <f>IF('Product Data'!A51="","",C51*D51*E51)</f>
        <v/>
      </c>
      <c r="H51" s="13">
        <f>IF('Product Data'!A51="","",AND($C51&lt;='Box Library'!$C$4,$D51&lt;='Box Library'!$D$4,$E51&lt;='Box Library'!$E$4,$F51&lt;='Box Library'!$F$4))</f>
        <v/>
      </c>
      <c r="I51" s="13">
        <f>IF('Product Data'!A51="","",AND($C51&lt;='Box Library'!$C$5,$D51&lt;='Box Library'!$D$5,$E51&lt;='Box Library'!$E$5,$F51&lt;='Box Library'!$F$5))</f>
        <v/>
      </c>
      <c r="J51" s="13">
        <f>IF('Product Data'!A51="","",AND($C51&lt;='Box Library'!$C$6,$D51&lt;='Box Library'!$D$6,$E51&lt;='Box Library'!$E$6,$F51&lt;='Box Library'!$F$6))</f>
        <v/>
      </c>
      <c r="K51" s="13">
        <f>IF('Product Data'!A51="","",AND($C51&lt;='Box Library'!$C$7,$D51&lt;='Box Library'!$D$7,$E51&lt;='Box Library'!$E$7,$F51&lt;='Box Library'!$F$7))</f>
        <v/>
      </c>
      <c r="L51" s="13">
        <f>IF('Product Data'!A51="","",AND($C51&lt;='Box Library'!$C$8,$D51&lt;='Box Library'!$D$8,$E51&lt;='Box Library'!$E$8,$F51&lt;='Box Library'!$F$8))</f>
        <v/>
      </c>
      <c r="M51" s="13">
        <f>IF('Product Data'!A51="","",IF(H51,'Box Library'!$A$4,IF(I51,'Box Library'!$A$5,IF(J51,'Box Library'!$A$6,IF(K51,'Box Library'!$A$7,IF(L51,'Box Library'!$A$8,"NO BOX FITS"))))))</f>
        <v/>
      </c>
      <c r="N51" s="15">
        <f>IF('Product Data'!A51="","",IF(H51,'Box Library'!$G$4,IF(I51,'Box Library'!$G$5,IF(J51,'Box Library'!$G$6,IF(K51,'Box Library'!$G$7,IF(L51,'Box Library'!$G$8,0))))))</f>
        <v/>
      </c>
      <c r="O51" s="16">
        <f>IF('Product Data'!A51="","",IF(M51="NO BOX FITS",0,G51/(IF(H51,'Box Library'!$H$4,IF(I51,'Box Library'!$H$5,IF(J51,'Box Library'!$H$6,IF(K51,'Box Library'!$H$7,'Box Library'!$H$8)))))))</f>
        <v/>
      </c>
      <c r="P51" s="6">
        <f>IF('Product Data'!A51="","",IF(M51="NO BOX FITS","REVIEW - NO STANDARD BOX FITS","OK"))</f>
        <v/>
      </c>
    </row>
    <row r="52">
      <c r="A52" s="13">
        <f>IF('Product Data'!A52="","",'Product Data'!A52)</f>
        <v/>
      </c>
      <c r="B52" s="13">
        <f>IF('Product Data'!A52="","",'Product Data'!B52)</f>
        <v/>
      </c>
      <c r="C52" s="14">
        <f>IF('Product Data'!A52="","",'Product Data'!C52)</f>
        <v/>
      </c>
      <c r="D52" s="14">
        <f>IF('Product Data'!A52="","",'Product Data'!D52)</f>
        <v/>
      </c>
      <c r="E52" s="14">
        <f>IF('Product Data'!A52="","",'Product Data'!E52)</f>
        <v/>
      </c>
      <c r="F52" s="14">
        <f>IF('Product Data'!A52="","",'Product Data'!F52)</f>
        <v/>
      </c>
      <c r="G52" s="9">
        <f>IF('Product Data'!A52="","",C52*D52*E52)</f>
        <v/>
      </c>
      <c r="H52" s="13">
        <f>IF('Product Data'!A52="","",AND($C52&lt;='Box Library'!$C$4,$D52&lt;='Box Library'!$D$4,$E52&lt;='Box Library'!$E$4,$F52&lt;='Box Library'!$F$4))</f>
        <v/>
      </c>
      <c r="I52" s="13">
        <f>IF('Product Data'!A52="","",AND($C52&lt;='Box Library'!$C$5,$D52&lt;='Box Library'!$D$5,$E52&lt;='Box Library'!$E$5,$F52&lt;='Box Library'!$F$5))</f>
        <v/>
      </c>
      <c r="J52" s="13">
        <f>IF('Product Data'!A52="","",AND($C52&lt;='Box Library'!$C$6,$D52&lt;='Box Library'!$D$6,$E52&lt;='Box Library'!$E$6,$F52&lt;='Box Library'!$F$6))</f>
        <v/>
      </c>
      <c r="K52" s="13">
        <f>IF('Product Data'!A52="","",AND($C52&lt;='Box Library'!$C$7,$D52&lt;='Box Library'!$D$7,$E52&lt;='Box Library'!$E$7,$F52&lt;='Box Library'!$F$7))</f>
        <v/>
      </c>
      <c r="L52" s="13">
        <f>IF('Product Data'!A52="","",AND($C52&lt;='Box Library'!$C$8,$D52&lt;='Box Library'!$D$8,$E52&lt;='Box Library'!$E$8,$F52&lt;='Box Library'!$F$8))</f>
        <v/>
      </c>
      <c r="M52" s="13">
        <f>IF('Product Data'!A52="","",IF(H52,'Box Library'!$A$4,IF(I52,'Box Library'!$A$5,IF(J52,'Box Library'!$A$6,IF(K52,'Box Library'!$A$7,IF(L52,'Box Library'!$A$8,"NO BOX FITS"))))))</f>
        <v/>
      </c>
      <c r="N52" s="15">
        <f>IF('Product Data'!A52="","",IF(H52,'Box Library'!$G$4,IF(I52,'Box Library'!$G$5,IF(J52,'Box Library'!$G$6,IF(K52,'Box Library'!$G$7,IF(L52,'Box Library'!$G$8,0))))))</f>
        <v/>
      </c>
      <c r="O52" s="16">
        <f>IF('Product Data'!A52="","",IF(M52="NO BOX FITS",0,G52/(IF(H52,'Box Library'!$H$4,IF(I52,'Box Library'!$H$5,IF(J52,'Box Library'!$H$6,IF(K52,'Box Library'!$H$7,'Box Library'!$H$8)))))))</f>
        <v/>
      </c>
      <c r="P52" s="6">
        <f>IF('Product Data'!A52="","",IF(M52="NO BOX FITS","REVIEW - NO STANDARD BOX FITS","OK"))</f>
        <v/>
      </c>
    </row>
    <row r="53">
      <c r="A53" s="13">
        <f>IF('Product Data'!A53="","",'Product Data'!A53)</f>
        <v/>
      </c>
      <c r="B53" s="13">
        <f>IF('Product Data'!A53="","",'Product Data'!B53)</f>
        <v/>
      </c>
      <c r="C53" s="14">
        <f>IF('Product Data'!A53="","",'Product Data'!C53)</f>
        <v/>
      </c>
      <c r="D53" s="14">
        <f>IF('Product Data'!A53="","",'Product Data'!D53)</f>
        <v/>
      </c>
      <c r="E53" s="14">
        <f>IF('Product Data'!A53="","",'Product Data'!E53)</f>
        <v/>
      </c>
      <c r="F53" s="14">
        <f>IF('Product Data'!A53="","",'Product Data'!F53)</f>
        <v/>
      </c>
      <c r="G53" s="9">
        <f>IF('Product Data'!A53="","",C53*D53*E53)</f>
        <v/>
      </c>
      <c r="H53" s="13">
        <f>IF('Product Data'!A53="","",AND($C53&lt;='Box Library'!$C$4,$D53&lt;='Box Library'!$D$4,$E53&lt;='Box Library'!$E$4,$F53&lt;='Box Library'!$F$4))</f>
        <v/>
      </c>
      <c r="I53" s="13">
        <f>IF('Product Data'!A53="","",AND($C53&lt;='Box Library'!$C$5,$D53&lt;='Box Library'!$D$5,$E53&lt;='Box Library'!$E$5,$F53&lt;='Box Library'!$F$5))</f>
        <v/>
      </c>
      <c r="J53" s="13">
        <f>IF('Product Data'!A53="","",AND($C53&lt;='Box Library'!$C$6,$D53&lt;='Box Library'!$D$6,$E53&lt;='Box Library'!$E$6,$F53&lt;='Box Library'!$F$6))</f>
        <v/>
      </c>
      <c r="K53" s="13">
        <f>IF('Product Data'!A53="","",AND($C53&lt;='Box Library'!$C$7,$D53&lt;='Box Library'!$D$7,$E53&lt;='Box Library'!$E$7,$F53&lt;='Box Library'!$F$7))</f>
        <v/>
      </c>
      <c r="L53" s="13">
        <f>IF('Product Data'!A53="","",AND($C53&lt;='Box Library'!$C$8,$D53&lt;='Box Library'!$D$8,$E53&lt;='Box Library'!$E$8,$F53&lt;='Box Library'!$F$8))</f>
        <v/>
      </c>
      <c r="M53" s="13">
        <f>IF('Product Data'!A53="","",IF(H53,'Box Library'!$A$4,IF(I53,'Box Library'!$A$5,IF(J53,'Box Library'!$A$6,IF(K53,'Box Library'!$A$7,IF(L53,'Box Library'!$A$8,"NO BOX FITS"))))))</f>
        <v/>
      </c>
      <c r="N53" s="15">
        <f>IF('Product Data'!A53="","",IF(H53,'Box Library'!$G$4,IF(I53,'Box Library'!$G$5,IF(J53,'Box Library'!$G$6,IF(K53,'Box Library'!$G$7,IF(L53,'Box Library'!$G$8,0))))))</f>
        <v/>
      </c>
      <c r="O53" s="16">
        <f>IF('Product Data'!A53="","",IF(M53="NO BOX FITS",0,G53/(IF(H53,'Box Library'!$H$4,IF(I53,'Box Library'!$H$5,IF(J53,'Box Library'!$H$6,IF(K53,'Box Library'!$H$7,'Box Library'!$H$8)))))))</f>
        <v/>
      </c>
      <c r="P53" s="6">
        <f>IF('Product Data'!A53="","",IF(M53="NO BOX FITS","REVIEW - NO STANDARD BOX FITS","OK"))</f>
        <v/>
      </c>
    </row>
    <row r="54">
      <c r="A54" s="13">
        <f>IF('Product Data'!A54="","",'Product Data'!A54)</f>
        <v/>
      </c>
      <c r="B54" s="13">
        <f>IF('Product Data'!A54="","",'Product Data'!B54)</f>
        <v/>
      </c>
      <c r="C54" s="14">
        <f>IF('Product Data'!A54="","",'Product Data'!C54)</f>
        <v/>
      </c>
      <c r="D54" s="14">
        <f>IF('Product Data'!A54="","",'Product Data'!D54)</f>
        <v/>
      </c>
      <c r="E54" s="14">
        <f>IF('Product Data'!A54="","",'Product Data'!E54)</f>
        <v/>
      </c>
      <c r="F54" s="14">
        <f>IF('Product Data'!A54="","",'Product Data'!F54)</f>
        <v/>
      </c>
      <c r="G54" s="9">
        <f>IF('Product Data'!A54="","",C54*D54*E54)</f>
        <v/>
      </c>
      <c r="H54" s="13">
        <f>IF('Product Data'!A54="","",AND($C54&lt;='Box Library'!$C$4,$D54&lt;='Box Library'!$D$4,$E54&lt;='Box Library'!$E$4,$F54&lt;='Box Library'!$F$4))</f>
        <v/>
      </c>
      <c r="I54" s="13">
        <f>IF('Product Data'!A54="","",AND($C54&lt;='Box Library'!$C$5,$D54&lt;='Box Library'!$D$5,$E54&lt;='Box Library'!$E$5,$F54&lt;='Box Library'!$F$5))</f>
        <v/>
      </c>
      <c r="J54" s="13">
        <f>IF('Product Data'!A54="","",AND($C54&lt;='Box Library'!$C$6,$D54&lt;='Box Library'!$D$6,$E54&lt;='Box Library'!$E$6,$F54&lt;='Box Library'!$F$6))</f>
        <v/>
      </c>
      <c r="K54" s="13">
        <f>IF('Product Data'!A54="","",AND($C54&lt;='Box Library'!$C$7,$D54&lt;='Box Library'!$D$7,$E54&lt;='Box Library'!$E$7,$F54&lt;='Box Library'!$F$7))</f>
        <v/>
      </c>
      <c r="L54" s="13">
        <f>IF('Product Data'!A54="","",AND($C54&lt;='Box Library'!$C$8,$D54&lt;='Box Library'!$D$8,$E54&lt;='Box Library'!$E$8,$F54&lt;='Box Library'!$F$8))</f>
        <v/>
      </c>
      <c r="M54" s="13">
        <f>IF('Product Data'!A54="","",IF(H54,'Box Library'!$A$4,IF(I54,'Box Library'!$A$5,IF(J54,'Box Library'!$A$6,IF(K54,'Box Library'!$A$7,IF(L54,'Box Library'!$A$8,"NO BOX FITS"))))))</f>
        <v/>
      </c>
      <c r="N54" s="15">
        <f>IF('Product Data'!A54="","",IF(H54,'Box Library'!$G$4,IF(I54,'Box Library'!$G$5,IF(J54,'Box Library'!$G$6,IF(K54,'Box Library'!$G$7,IF(L54,'Box Library'!$G$8,0))))))</f>
        <v/>
      </c>
      <c r="O54" s="16">
        <f>IF('Product Data'!A54="","",IF(M54="NO BOX FITS",0,G54/(IF(H54,'Box Library'!$H$4,IF(I54,'Box Library'!$H$5,IF(J54,'Box Library'!$H$6,IF(K54,'Box Library'!$H$7,'Box Library'!$H$8)))))))</f>
        <v/>
      </c>
      <c r="P54" s="6">
        <f>IF('Product Data'!A54="","",IF(M54="NO BOX FITS","REVIEW - NO STANDARD BOX FITS","OK"))</f>
        <v/>
      </c>
    </row>
    <row r="55">
      <c r="A55" s="13">
        <f>IF('Product Data'!A55="","",'Product Data'!A55)</f>
        <v/>
      </c>
      <c r="B55" s="13">
        <f>IF('Product Data'!A55="","",'Product Data'!B55)</f>
        <v/>
      </c>
      <c r="C55" s="14">
        <f>IF('Product Data'!A55="","",'Product Data'!C55)</f>
        <v/>
      </c>
      <c r="D55" s="14">
        <f>IF('Product Data'!A55="","",'Product Data'!D55)</f>
        <v/>
      </c>
      <c r="E55" s="14">
        <f>IF('Product Data'!A55="","",'Product Data'!E55)</f>
        <v/>
      </c>
      <c r="F55" s="14">
        <f>IF('Product Data'!A55="","",'Product Data'!F55)</f>
        <v/>
      </c>
      <c r="G55" s="9">
        <f>IF('Product Data'!A55="","",C55*D55*E55)</f>
        <v/>
      </c>
      <c r="H55" s="13">
        <f>IF('Product Data'!A55="","",AND($C55&lt;='Box Library'!$C$4,$D55&lt;='Box Library'!$D$4,$E55&lt;='Box Library'!$E$4,$F55&lt;='Box Library'!$F$4))</f>
        <v/>
      </c>
      <c r="I55" s="13">
        <f>IF('Product Data'!A55="","",AND($C55&lt;='Box Library'!$C$5,$D55&lt;='Box Library'!$D$5,$E55&lt;='Box Library'!$E$5,$F55&lt;='Box Library'!$F$5))</f>
        <v/>
      </c>
      <c r="J55" s="13">
        <f>IF('Product Data'!A55="","",AND($C55&lt;='Box Library'!$C$6,$D55&lt;='Box Library'!$D$6,$E55&lt;='Box Library'!$E$6,$F55&lt;='Box Library'!$F$6))</f>
        <v/>
      </c>
      <c r="K55" s="13">
        <f>IF('Product Data'!A55="","",AND($C55&lt;='Box Library'!$C$7,$D55&lt;='Box Library'!$D$7,$E55&lt;='Box Library'!$E$7,$F55&lt;='Box Library'!$F$7))</f>
        <v/>
      </c>
      <c r="L55" s="13">
        <f>IF('Product Data'!A55="","",AND($C55&lt;='Box Library'!$C$8,$D55&lt;='Box Library'!$D$8,$E55&lt;='Box Library'!$E$8,$F55&lt;='Box Library'!$F$8))</f>
        <v/>
      </c>
      <c r="M55" s="13">
        <f>IF('Product Data'!A55="","",IF(H55,'Box Library'!$A$4,IF(I55,'Box Library'!$A$5,IF(J55,'Box Library'!$A$6,IF(K55,'Box Library'!$A$7,IF(L55,'Box Library'!$A$8,"NO BOX FITS"))))))</f>
        <v/>
      </c>
      <c r="N55" s="15">
        <f>IF('Product Data'!A55="","",IF(H55,'Box Library'!$G$4,IF(I55,'Box Library'!$G$5,IF(J55,'Box Library'!$G$6,IF(K55,'Box Library'!$G$7,IF(L55,'Box Library'!$G$8,0))))))</f>
        <v/>
      </c>
      <c r="O55" s="16">
        <f>IF('Product Data'!A55="","",IF(M55="NO BOX FITS",0,G55/(IF(H55,'Box Library'!$H$4,IF(I55,'Box Library'!$H$5,IF(J55,'Box Library'!$H$6,IF(K55,'Box Library'!$H$7,'Box Library'!$H$8)))))))</f>
        <v/>
      </c>
      <c r="P55" s="6">
        <f>IF('Product Data'!A55="","",IF(M55="NO BOX FITS","REVIEW - NO STANDARD BOX FITS","OK"))</f>
        <v/>
      </c>
    </row>
    <row r="56">
      <c r="A56" s="13">
        <f>IF('Product Data'!A56="","",'Product Data'!A56)</f>
        <v/>
      </c>
      <c r="B56" s="13">
        <f>IF('Product Data'!A56="","",'Product Data'!B56)</f>
        <v/>
      </c>
      <c r="C56" s="14">
        <f>IF('Product Data'!A56="","",'Product Data'!C56)</f>
        <v/>
      </c>
      <c r="D56" s="14">
        <f>IF('Product Data'!A56="","",'Product Data'!D56)</f>
        <v/>
      </c>
      <c r="E56" s="14">
        <f>IF('Product Data'!A56="","",'Product Data'!E56)</f>
        <v/>
      </c>
      <c r="F56" s="14">
        <f>IF('Product Data'!A56="","",'Product Data'!F56)</f>
        <v/>
      </c>
      <c r="G56" s="9">
        <f>IF('Product Data'!A56="","",C56*D56*E56)</f>
        <v/>
      </c>
      <c r="H56" s="13">
        <f>IF('Product Data'!A56="","",AND($C56&lt;='Box Library'!$C$4,$D56&lt;='Box Library'!$D$4,$E56&lt;='Box Library'!$E$4,$F56&lt;='Box Library'!$F$4))</f>
        <v/>
      </c>
      <c r="I56" s="13">
        <f>IF('Product Data'!A56="","",AND($C56&lt;='Box Library'!$C$5,$D56&lt;='Box Library'!$D$5,$E56&lt;='Box Library'!$E$5,$F56&lt;='Box Library'!$F$5))</f>
        <v/>
      </c>
      <c r="J56" s="13">
        <f>IF('Product Data'!A56="","",AND($C56&lt;='Box Library'!$C$6,$D56&lt;='Box Library'!$D$6,$E56&lt;='Box Library'!$E$6,$F56&lt;='Box Library'!$F$6))</f>
        <v/>
      </c>
      <c r="K56" s="13">
        <f>IF('Product Data'!A56="","",AND($C56&lt;='Box Library'!$C$7,$D56&lt;='Box Library'!$D$7,$E56&lt;='Box Library'!$E$7,$F56&lt;='Box Library'!$F$7))</f>
        <v/>
      </c>
      <c r="L56" s="13">
        <f>IF('Product Data'!A56="","",AND($C56&lt;='Box Library'!$C$8,$D56&lt;='Box Library'!$D$8,$E56&lt;='Box Library'!$E$8,$F56&lt;='Box Library'!$F$8))</f>
        <v/>
      </c>
      <c r="M56" s="13">
        <f>IF('Product Data'!A56="","",IF(H56,'Box Library'!$A$4,IF(I56,'Box Library'!$A$5,IF(J56,'Box Library'!$A$6,IF(K56,'Box Library'!$A$7,IF(L56,'Box Library'!$A$8,"NO BOX FITS"))))))</f>
        <v/>
      </c>
      <c r="N56" s="15">
        <f>IF('Product Data'!A56="","",IF(H56,'Box Library'!$G$4,IF(I56,'Box Library'!$G$5,IF(J56,'Box Library'!$G$6,IF(K56,'Box Library'!$G$7,IF(L56,'Box Library'!$G$8,0))))))</f>
        <v/>
      </c>
      <c r="O56" s="16">
        <f>IF('Product Data'!A56="","",IF(M56="NO BOX FITS",0,G56/(IF(H56,'Box Library'!$H$4,IF(I56,'Box Library'!$H$5,IF(J56,'Box Library'!$H$6,IF(K56,'Box Library'!$H$7,'Box Library'!$H$8)))))))</f>
        <v/>
      </c>
      <c r="P56" s="6">
        <f>IF('Product Data'!A56="","",IF(M56="NO BOX FITS","REVIEW - NO STANDARD BOX FITS","OK"))</f>
        <v/>
      </c>
    </row>
    <row r="57">
      <c r="A57" s="13">
        <f>IF('Product Data'!A57="","",'Product Data'!A57)</f>
        <v/>
      </c>
      <c r="B57" s="13">
        <f>IF('Product Data'!A57="","",'Product Data'!B57)</f>
        <v/>
      </c>
      <c r="C57" s="14">
        <f>IF('Product Data'!A57="","",'Product Data'!C57)</f>
        <v/>
      </c>
      <c r="D57" s="14">
        <f>IF('Product Data'!A57="","",'Product Data'!D57)</f>
        <v/>
      </c>
      <c r="E57" s="14">
        <f>IF('Product Data'!A57="","",'Product Data'!E57)</f>
        <v/>
      </c>
      <c r="F57" s="14">
        <f>IF('Product Data'!A57="","",'Product Data'!F57)</f>
        <v/>
      </c>
      <c r="G57" s="9">
        <f>IF('Product Data'!A57="","",C57*D57*E57)</f>
        <v/>
      </c>
      <c r="H57" s="13">
        <f>IF('Product Data'!A57="","",AND($C57&lt;='Box Library'!$C$4,$D57&lt;='Box Library'!$D$4,$E57&lt;='Box Library'!$E$4,$F57&lt;='Box Library'!$F$4))</f>
        <v/>
      </c>
      <c r="I57" s="13">
        <f>IF('Product Data'!A57="","",AND($C57&lt;='Box Library'!$C$5,$D57&lt;='Box Library'!$D$5,$E57&lt;='Box Library'!$E$5,$F57&lt;='Box Library'!$F$5))</f>
        <v/>
      </c>
      <c r="J57" s="13">
        <f>IF('Product Data'!A57="","",AND($C57&lt;='Box Library'!$C$6,$D57&lt;='Box Library'!$D$6,$E57&lt;='Box Library'!$E$6,$F57&lt;='Box Library'!$F$6))</f>
        <v/>
      </c>
      <c r="K57" s="13">
        <f>IF('Product Data'!A57="","",AND($C57&lt;='Box Library'!$C$7,$D57&lt;='Box Library'!$D$7,$E57&lt;='Box Library'!$E$7,$F57&lt;='Box Library'!$F$7))</f>
        <v/>
      </c>
      <c r="L57" s="13">
        <f>IF('Product Data'!A57="","",AND($C57&lt;='Box Library'!$C$8,$D57&lt;='Box Library'!$D$8,$E57&lt;='Box Library'!$E$8,$F57&lt;='Box Library'!$F$8))</f>
        <v/>
      </c>
      <c r="M57" s="13">
        <f>IF('Product Data'!A57="","",IF(H57,'Box Library'!$A$4,IF(I57,'Box Library'!$A$5,IF(J57,'Box Library'!$A$6,IF(K57,'Box Library'!$A$7,IF(L57,'Box Library'!$A$8,"NO BOX FITS"))))))</f>
        <v/>
      </c>
      <c r="N57" s="15">
        <f>IF('Product Data'!A57="","",IF(H57,'Box Library'!$G$4,IF(I57,'Box Library'!$G$5,IF(J57,'Box Library'!$G$6,IF(K57,'Box Library'!$G$7,IF(L57,'Box Library'!$G$8,0))))))</f>
        <v/>
      </c>
      <c r="O57" s="16">
        <f>IF('Product Data'!A57="","",IF(M57="NO BOX FITS",0,G57/(IF(H57,'Box Library'!$H$4,IF(I57,'Box Library'!$H$5,IF(J57,'Box Library'!$H$6,IF(K57,'Box Library'!$H$7,'Box Library'!$H$8)))))))</f>
        <v/>
      </c>
      <c r="P57" s="6">
        <f>IF('Product Data'!A57="","",IF(M57="NO BOX FITS","REVIEW - NO STANDARD BOX FITS","OK"))</f>
        <v/>
      </c>
    </row>
    <row r="58">
      <c r="A58" s="13">
        <f>IF('Product Data'!A58="","",'Product Data'!A58)</f>
        <v/>
      </c>
      <c r="B58" s="13">
        <f>IF('Product Data'!A58="","",'Product Data'!B58)</f>
        <v/>
      </c>
      <c r="C58" s="14">
        <f>IF('Product Data'!A58="","",'Product Data'!C58)</f>
        <v/>
      </c>
      <c r="D58" s="14">
        <f>IF('Product Data'!A58="","",'Product Data'!D58)</f>
        <v/>
      </c>
      <c r="E58" s="14">
        <f>IF('Product Data'!A58="","",'Product Data'!E58)</f>
        <v/>
      </c>
      <c r="F58" s="14">
        <f>IF('Product Data'!A58="","",'Product Data'!F58)</f>
        <v/>
      </c>
      <c r="G58" s="9">
        <f>IF('Product Data'!A58="","",C58*D58*E58)</f>
        <v/>
      </c>
      <c r="H58" s="13">
        <f>IF('Product Data'!A58="","",AND($C58&lt;='Box Library'!$C$4,$D58&lt;='Box Library'!$D$4,$E58&lt;='Box Library'!$E$4,$F58&lt;='Box Library'!$F$4))</f>
        <v/>
      </c>
      <c r="I58" s="13">
        <f>IF('Product Data'!A58="","",AND($C58&lt;='Box Library'!$C$5,$D58&lt;='Box Library'!$D$5,$E58&lt;='Box Library'!$E$5,$F58&lt;='Box Library'!$F$5))</f>
        <v/>
      </c>
      <c r="J58" s="13">
        <f>IF('Product Data'!A58="","",AND($C58&lt;='Box Library'!$C$6,$D58&lt;='Box Library'!$D$6,$E58&lt;='Box Library'!$E$6,$F58&lt;='Box Library'!$F$6))</f>
        <v/>
      </c>
      <c r="K58" s="13">
        <f>IF('Product Data'!A58="","",AND($C58&lt;='Box Library'!$C$7,$D58&lt;='Box Library'!$D$7,$E58&lt;='Box Library'!$E$7,$F58&lt;='Box Library'!$F$7))</f>
        <v/>
      </c>
      <c r="L58" s="13">
        <f>IF('Product Data'!A58="","",AND($C58&lt;='Box Library'!$C$8,$D58&lt;='Box Library'!$D$8,$E58&lt;='Box Library'!$E$8,$F58&lt;='Box Library'!$F$8))</f>
        <v/>
      </c>
      <c r="M58" s="13">
        <f>IF('Product Data'!A58="","",IF(H58,'Box Library'!$A$4,IF(I58,'Box Library'!$A$5,IF(J58,'Box Library'!$A$6,IF(K58,'Box Library'!$A$7,IF(L58,'Box Library'!$A$8,"NO BOX FITS"))))))</f>
        <v/>
      </c>
      <c r="N58" s="15">
        <f>IF('Product Data'!A58="","",IF(H58,'Box Library'!$G$4,IF(I58,'Box Library'!$G$5,IF(J58,'Box Library'!$G$6,IF(K58,'Box Library'!$G$7,IF(L58,'Box Library'!$G$8,0))))))</f>
        <v/>
      </c>
      <c r="O58" s="16">
        <f>IF('Product Data'!A58="","",IF(M58="NO BOX FITS",0,G58/(IF(H58,'Box Library'!$H$4,IF(I58,'Box Library'!$H$5,IF(J58,'Box Library'!$H$6,IF(K58,'Box Library'!$H$7,'Box Library'!$H$8)))))))</f>
        <v/>
      </c>
      <c r="P58" s="6">
        <f>IF('Product Data'!A58="","",IF(M58="NO BOX FITS","REVIEW - NO STANDARD BOX FITS","OK"))</f>
        <v/>
      </c>
    </row>
    <row r="59">
      <c r="A59" s="13">
        <f>IF('Product Data'!A59="","",'Product Data'!A59)</f>
        <v/>
      </c>
      <c r="B59" s="13">
        <f>IF('Product Data'!A59="","",'Product Data'!B59)</f>
        <v/>
      </c>
      <c r="C59" s="14">
        <f>IF('Product Data'!A59="","",'Product Data'!C59)</f>
        <v/>
      </c>
      <c r="D59" s="14">
        <f>IF('Product Data'!A59="","",'Product Data'!D59)</f>
        <v/>
      </c>
      <c r="E59" s="14">
        <f>IF('Product Data'!A59="","",'Product Data'!E59)</f>
        <v/>
      </c>
      <c r="F59" s="14">
        <f>IF('Product Data'!A59="","",'Product Data'!F59)</f>
        <v/>
      </c>
      <c r="G59" s="9">
        <f>IF('Product Data'!A59="","",C59*D59*E59)</f>
        <v/>
      </c>
      <c r="H59" s="13">
        <f>IF('Product Data'!A59="","",AND($C59&lt;='Box Library'!$C$4,$D59&lt;='Box Library'!$D$4,$E59&lt;='Box Library'!$E$4,$F59&lt;='Box Library'!$F$4))</f>
        <v/>
      </c>
      <c r="I59" s="13">
        <f>IF('Product Data'!A59="","",AND($C59&lt;='Box Library'!$C$5,$D59&lt;='Box Library'!$D$5,$E59&lt;='Box Library'!$E$5,$F59&lt;='Box Library'!$F$5))</f>
        <v/>
      </c>
      <c r="J59" s="13">
        <f>IF('Product Data'!A59="","",AND($C59&lt;='Box Library'!$C$6,$D59&lt;='Box Library'!$D$6,$E59&lt;='Box Library'!$E$6,$F59&lt;='Box Library'!$F$6))</f>
        <v/>
      </c>
      <c r="K59" s="13">
        <f>IF('Product Data'!A59="","",AND($C59&lt;='Box Library'!$C$7,$D59&lt;='Box Library'!$D$7,$E59&lt;='Box Library'!$E$7,$F59&lt;='Box Library'!$F$7))</f>
        <v/>
      </c>
      <c r="L59" s="13">
        <f>IF('Product Data'!A59="","",AND($C59&lt;='Box Library'!$C$8,$D59&lt;='Box Library'!$D$8,$E59&lt;='Box Library'!$E$8,$F59&lt;='Box Library'!$F$8))</f>
        <v/>
      </c>
      <c r="M59" s="13">
        <f>IF('Product Data'!A59="","",IF(H59,'Box Library'!$A$4,IF(I59,'Box Library'!$A$5,IF(J59,'Box Library'!$A$6,IF(K59,'Box Library'!$A$7,IF(L59,'Box Library'!$A$8,"NO BOX FITS"))))))</f>
        <v/>
      </c>
      <c r="N59" s="15">
        <f>IF('Product Data'!A59="","",IF(H59,'Box Library'!$G$4,IF(I59,'Box Library'!$G$5,IF(J59,'Box Library'!$G$6,IF(K59,'Box Library'!$G$7,IF(L59,'Box Library'!$G$8,0))))))</f>
        <v/>
      </c>
      <c r="O59" s="16">
        <f>IF('Product Data'!A59="","",IF(M59="NO BOX FITS",0,G59/(IF(H59,'Box Library'!$H$4,IF(I59,'Box Library'!$H$5,IF(J59,'Box Library'!$H$6,IF(K59,'Box Library'!$H$7,'Box Library'!$H$8)))))))</f>
        <v/>
      </c>
      <c r="P59" s="6">
        <f>IF('Product Data'!A59="","",IF(M59="NO BOX FITS","REVIEW - NO STANDARD BOX FITS","OK"))</f>
        <v/>
      </c>
    </row>
    <row r="60">
      <c r="A60" s="13">
        <f>IF('Product Data'!A60="","",'Product Data'!A60)</f>
        <v/>
      </c>
      <c r="B60" s="13">
        <f>IF('Product Data'!A60="","",'Product Data'!B60)</f>
        <v/>
      </c>
      <c r="C60" s="14">
        <f>IF('Product Data'!A60="","",'Product Data'!C60)</f>
        <v/>
      </c>
      <c r="D60" s="14">
        <f>IF('Product Data'!A60="","",'Product Data'!D60)</f>
        <v/>
      </c>
      <c r="E60" s="14">
        <f>IF('Product Data'!A60="","",'Product Data'!E60)</f>
        <v/>
      </c>
      <c r="F60" s="14">
        <f>IF('Product Data'!A60="","",'Product Data'!F60)</f>
        <v/>
      </c>
      <c r="G60" s="9">
        <f>IF('Product Data'!A60="","",C60*D60*E60)</f>
        <v/>
      </c>
      <c r="H60" s="13">
        <f>IF('Product Data'!A60="","",AND($C60&lt;='Box Library'!$C$4,$D60&lt;='Box Library'!$D$4,$E60&lt;='Box Library'!$E$4,$F60&lt;='Box Library'!$F$4))</f>
        <v/>
      </c>
      <c r="I60" s="13">
        <f>IF('Product Data'!A60="","",AND($C60&lt;='Box Library'!$C$5,$D60&lt;='Box Library'!$D$5,$E60&lt;='Box Library'!$E$5,$F60&lt;='Box Library'!$F$5))</f>
        <v/>
      </c>
      <c r="J60" s="13">
        <f>IF('Product Data'!A60="","",AND($C60&lt;='Box Library'!$C$6,$D60&lt;='Box Library'!$D$6,$E60&lt;='Box Library'!$E$6,$F60&lt;='Box Library'!$F$6))</f>
        <v/>
      </c>
      <c r="K60" s="13">
        <f>IF('Product Data'!A60="","",AND($C60&lt;='Box Library'!$C$7,$D60&lt;='Box Library'!$D$7,$E60&lt;='Box Library'!$E$7,$F60&lt;='Box Library'!$F$7))</f>
        <v/>
      </c>
      <c r="L60" s="13">
        <f>IF('Product Data'!A60="","",AND($C60&lt;='Box Library'!$C$8,$D60&lt;='Box Library'!$D$8,$E60&lt;='Box Library'!$E$8,$F60&lt;='Box Library'!$F$8))</f>
        <v/>
      </c>
      <c r="M60" s="13">
        <f>IF('Product Data'!A60="","",IF(H60,'Box Library'!$A$4,IF(I60,'Box Library'!$A$5,IF(J60,'Box Library'!$A$6,IF(K60,'Box Library'!$A$7,IF(L60,'Box Library'!$A$8,"NO BOX FITS"))))))</f>
        <v/>
      </c>
      <c r="N60" s="15">
        <f>IF('Product Data'!A60="","",IF(H60,'Box Library'!$G$4,IF(I60,'Box Library'!$G$5,IF(J60,'Box Library'!$G$6,IF(K60,'Box Library'!$G$7,IF(L60,'Box Library'!$G$8,0))))))</f>
        <v/>
      </c>
      <c r="O60" s="16">
        <f>IF('Product Data'!A60="","",IF(M60="NO BOX FITS",0,G60/(IF(H60,'Box Library'!$H$4,IF(I60,'Box Library'!$H$5,IF(J60,'Box Library'!$H$6,IF(K60,'Box Library'!$H$7,'Box Library'!$H$8)))))))</f>
        <v/>
      </c>
      <c r="P60" s="6">
        <f>IF('Product Data'!A60="","",IF(M60="NO BOX FITS","REVIEW - NO STANDARD BOX FITS","OK"))</f>
        <v/>
      </c>
    </row>
    <row r="61">
      <c r="A61" s="13">
        <f>IF('Product Data'!A61="","",'Product Data'!A61)</f>
        <v/>
      </c>
      <c r="B61" s="13">
        <f>IF('Product Data'!A61="","",'Product Data'!B61)</f>
        <v/>
      </c>
      <c r="C61" s="14">
        <f>IF('Product Data'!A61="","",'Product Data'!C61)</f>
        <v/>
      </c>
      <c r="D61" s="14">
        <f>IF('Product Data'!A61="","",'Product Data'!D61)</f>
        <v/>
      </c>
      <c r="E61" s="14">
        <f>IF('Product Data'!A61="","",'Product Data'!E61)</f>
        <v/>
      </c>
      <c r="F61" s="14">
        <f>IF('Product Data'!A61="","",'Product Data'!F61)</f>
        <v/>
      </c>
      <c r="G61" s="9">
        <f>IF('Product Data'!A61="","",C61*D61*E61)</f>
        <v/>
      </c>
      <c r="H61" s="13">
        <f>IF('Product Data'!A61="","",AND($C61&lt;='Box Library'!$C$4,$D61&lt;='Box Library'!$D$4,$E61&lt;='Box Library'!$E$4,$F61&lt;='Box Library'!$F$4))</f>
        <v/>
      </c>
      <c r="I61" s="13">
        <f>IF('Product Data'!A61="","",AND($C61&lt;='Box Library'!$C$5,$D61&lt;='Box Library'!$D$5,$E61&lt;='Box Library'!$E$5,$F61&lt;='Box Library'!$F$5))</f>
        <v/>
      </c>
      <c r="J61" s="13">
        <f>IF('Product Data'!A61="","",AND($C61&lt;='Box Library'!$C$6,$D61&lt;='Box Library'!$D$6,$E61&lt;='Box Library'!$E$6,$F61&lt;='Box Library'!$F$6))</f>
        <v/>
      </c>
      <c r="K61" s="13">
        <f>IF('Product Data'!A61="","",AND($C61&lt;='Box Library'!$C$7,$D61&lt;='Box Library'!$D$7,$E61&lt;='Box Library'!$E$7,$F61&lt;='Box Library'!$F$7))</f>
        <v/>
      </c>
      <c r="L61" s="13">
        <f>IF('Product Data'!A61="","",AND($C61&lt;='Box Library'!$C$8,$D61&lt;='Box Library'!$D$8,$E61&lt;='Box Library'!$E$8,$F61&lt;='Box Library'!$F$8))</f>
        <v/>
      </c>
      <c r="M61" s="13">
        <f>IF('Product Data'!A61="","",IF(H61,'Box Library'!$A$4,IF(I61,'Box Library'!$A$5,IF(J61,'Box Library'!$A$6,IF(K61,'Box Library'!$A$7,IF(L61,'Box Library'!$A$8,"NO BOX FITS"))))))</f>
        <v/>
      </c>
      <c r="N61" s="15">
        <f>IF('Product Data'!A61="","",IF(H61,'Box Library'!$G$4,IF(I61,'Box Library'!$G$5,IF(J61,'Box Library'!$G$6,IF(K61,'Box Library'!$G$7,IF(L61,'Box Library'!$G$8,0))))))</f>
        <v/>
      </c>
      <c r="O61" s="16">
        <f>IF('Product Data'!A61="","",IF(M61="NO BOX FITS",0,G61/(IF(H61,'Box Library'!$H$4,IF(I61,'Box Library'!$H$5,IF(J61,'Box Library'!$H$6,IF(K61,'Box Library'!$H$7,'Box Library'!$H$8)))))))</f>
        <v/>
      </c>
      <c r="P61" s="6">
        <f>IF('Product Data'!A61="","",IF(M61="NO BOX FITS","REVIEW - NO STANDARD BOX FITS","OK"))</f>
        <v/>
      </c>
    </row>
    <row r="62">
      <c r="A62" s="13">
        <f>IF('Product Data'!A62="","",'Product Data'!A62)</f>
        <v/>
      </c>
      <c r="B62" s="13">
        <f>IF('Product Data'!A62="","",'Product Data'!B62)</f>
        <v/>
      </c>
      <c r="C62" s="14">
        <f>IF('Product Data'!A62="","",'Product Data'!C62)</f>
        <v/>
      </c>
      <c r="D62" s="14">
        <f>IF('Product Data'!A62="","",'Product Data'!D62)</f>
        <v/>
      </c>
      <c r="E62" s="14">
        <f>IF('Product Data'!A62="","",'Product Data'!E62)</f>
        <v/>
      </c>
      <c r="F62" s="14">
        <f>IF('Product Data'!A62="","",'Product Data'!F62)</f>
        <v/>
      </c>
      <c r="G62" s="9">
        <f>IF('Product Data'!A62="","",C62*D62*E62)</f>
        <v/>
      </c>
      <c r="H62" s="13">
        <f>IF('Product Data'!A62="","",AND($C62&lt;='Box Library'!$C$4,$D62&lt;='Box Library'!$D$4,$E62&lt;='Box Library'!$E$4,$F62&lt;='Box Library'!$F$4))</f>
        <v/>
      </c>
      <c r="I62" s="13">
        <f>IF('Product Data'!A62="","",AND($C62&lt;='Box Library'!$C$5,$D62&lt;='Box Library'!$D$5,$E62&lt;='Box Library'!$E$5,$F62&lt;='Box Library'!$F$5))</f>
        <v/>
      </c>
      <c r="J62" s="13">
        <f>IF('Product Data'!A62="","",AND($C62&lt;='Box Library'!$C$6,$D62&lt;='Box Library'!$D$6,$E62&lt;='Box Library'!$E$6,$F62&lt;='Box Library'!$F$6))</f>
        <v/>
      </c>
      <c r="K62" s="13">
        <f>IF('Product Data'!A62="","",AND($C62&lt;='Box Library'!$C$7,$D62&lt;='Box Library'!$D$7,$E62&lt;='Box Library'!$E$7,$F62&lt;='Box Library'!$F$7))</f>
        <v/>
      </c>
      <c r="L62" s="13">
        <f>IF('Product Data'!A62="","",AND($C62&lt;='Box Library'!$C$8,$D62&lt;='Box Library'!$D$8,$E62&lt;='Box Library'!$E$8,$F62&lt;='Box Library'!$F$8))</f>
        <v/>
      </c>
      <c r="M62" s="13">
        <f>IF('Product Data'!A62="","",IF(H62,'Box Library'!$A$4,IF(I62,'Box Library'!$A$5,IF(J62,'Box Library'!$A$6,IF(K62,'Box Library'!$A$7,IF(L62,'Box Library'!$A$8,"NO BOX FITS"))))))</f>
        <v/>
      </c>
      <c r="N62" s="15">
        <f>IF('Product Data'!A62="","",IF(H62,'Box Library'!$G$4,IF(I62,'Box Library'!$G$5,IF(J62,'Box Library'!$G$6,IF(K62,'Box Library'!$G$7,IF(L62,'Box Library'!$G$8,0))))))</f>
        <v/>
      </c>
      <c r="O62" s="16">
        <f>IF('Product Data'!A62="","",IF(M62="NO BOX FITS",0,G62/(IF(H62,'Box Library'!$H$4,IF(I62,'Box Library'!$H$5,IF(J62,'Box Library'!$H$6,IF(K62,'Box Library'!$H$7,'Box Library'!$H$8)))))))</f>
        <v/>
      </c>
      <c r="P62" s="6">
        <f>IF('Product Data'!A62="","",IF(M62="NO BOX FITS","REVIEW - NO STANDARD BOX FITS","OK"))</f>
        <v/>
      </c>
    </row>
    <row r="63">
      <c r="A63" s="13">
        <f>IF('Product Data'!A63="","",'Product Data'!A63)</f>
        <v/>
      </c>
      <c r="B63" s="13">
        <f>IF('Product Data'!A63="","",'Product Data'!B63)</f>
        <v/>
      </c>
      <c r="C63" s="14">
        <f>IF('Product Data'!A63="","",'Product Data'!C63)</f>
        <v/>
      </c>
      <c r="D63" s="14">
        <f>IF('Product Data'!A63="","",'Product Data'!D63)</f>
        <v/>
      </c>
      <c r="E63" s="14">
        <f>IF('Product Data'!A63="","",'Product Data'!E63)</f>
        <v/>
      </c>
      <c r="F63" s="14">
        <f>IF('Product Data'!A63="","",'Product Data'!F63)</f>
        <v/>
      </c>
      <c r="G63" s="9">
        <f>IF('Product Data'!A63="","",C63*D63*E63)</f>
        <v/>
      </c>
      <c r="H63" s="13">
        <f>IF('Product Data'!A63="","",AND($C63&lt;='Box Library'!$C$4,$D63&lt;='Box Library'!$D$4,$E63&lt;='Box Library'!$E$4,$F63&lt;='Box Library'!$F$4))</f>
        <v/>
      </c>
      <c r="I63" s="13">
        <f>IF('Product Data'!A63="","",AND($C63&lt;='Box Library'!$C$5,$D63&lt;='Box Library'!$D$5,$E63&lt;='Box Library'!$E$5,$F63&lt;='Box Library'!$F$5))</f>
        <v/>
      </c>
      <c r="J63" s="13">
        <f>IF('Product Data'!A63="","",AND($C63&lt;='Box Library'!$C$6,$D63&lt;='Box Library'!$D$6,$E63&lt;='Box Library'!$E$6,$F63&lt;='Box Library'!$F$6))</f>
        <v/>
      </c>
      <c r="K63" s="13">
        <f>IF('Product Data'!A63="","",AND($C63&lt;='Box Library'!$C$7,$D63&lt;='Box Library'!$D$7,$E63&lt;='Box Library'!$E$7,$F63&lt;='Box Library'!$F$7))</f>
        <v/>
      </c>
      <c r="L63" s="13">
        <f>IF('Product Data'!A63="","",AND($C63&lt;='Box Library'!$C$8,$D63&lt;='Box Library'!$D$8,$E63&lt;='Box Library'!$E$8,$F63&lt;='Box Library'!$F$8))</f>
        <v/>
      </c>
      <c r="M63" s="13">
        <f>IF('Product Data'!A63="","",IF(H63,'Box Library'!$A$4,IF(I63,'Box Library'!$A$5,IF(J63,'Box Library'!$A$6,IF(K63,'Box Library'!$A$7,IF(L63,'Box Library'!$A$8,"NO BOX FITS"))))))</f>
        <v/>
      </c>
      <c r="N63" s="15">
        <f>IF('Product Data'!A63="","",IF(H63,'Box Library'!$G$4,IF(I63,'Box Library'!$G$5,IF(J63,'Box Library'!$G$6,IF(K63,'Box Library'!$G$7,IF(L63,'Box Library'!$G$8,0))))))</f>
        <v/>
      </c>
      <c r="O63" s="16">
        <f>IF('Product Data'!A63="","",IF(M63="NO BOX FITS",0,G63/(IF(H63,'Box Library'!$H$4,IF(I63,'Box Library'!$H$5,IF(J63,'Box Library'!$H$6,IF(K63,'Box Library'!$H$7,'Box Library'!$H$8)))))))</f>
        <v/>
      </c>
      <c r="P63" s="6">
        <f>IF('Product Data'!A63="","",IF(M63="NO BOX FITS","REVIEW - NO STANDARD BOX FITS","OK"))</f>
        <v/>
      </c>
    </row>
    <row r="64">
      <c r="A64" s="13">
        <f>IF('Product Data'!A64="","",'Product Data'!A64)</f>
        <v/>
      </c>
      <c r="B64" s="13">
        <f>IF('Product Data'!A64="","",'Product Data'!B64)</f>
        <v/>
      </c>
      <c r="C64" s="14">
        <f>IF('Product Data'!A64="","",'Product Data'!C64)</f>
        <v/>
      </c>
      <c r="D64" s="14">
        <f>IF('Product Data'!A64="","",'Product Data'!D64)</f>
        <v/>
      </c>
      <c r="E64" s="14">
        <f>IF('Product Data'!A64="","",'Product Data'!E64)</f>
        <v/>
      </c>
      <c r="F64" s="14">
        <f>IF('Product Data'!A64="","",'Product Data'!F64)</f>
        <v/>
      </c>
      <c r="G64" s="9">
        <f>IF('Product Data'!A64="","",C64*D64*E64)</f>
        <v/>
      </c>
      <c r="H64" s="13">
        <f>IF('Product Data'!A64="","",AND($C64&lt;='Box Library'!$C$4,$D64&lt;='Box Library'!$D$4,$E64&lt;='Box Library'!$E$4,$F64&lt;='Box Library'!$F$4))</f>
        <v/>
      </c>
      <c r="I64" s="13">
        <f>IF('Product Data'!A64="","",AND($C64&lt;='Box Library'!$C$5,$D64&lt;='Box Library'!$D$5,$E64&lt;='Box Library'!$E$5,$F64&lt;='Box Library'!$F$5))</f>
        <v/>
      </c>
      <c r="J64" s="13">
        <f>IF('Product Data'!A64="","",AND($C64&lt;='Box Library'!$C$6,$D64&lt;='Box Library'!$D$6,$E64&lt;='Box Library'!$E$6,$F64&lt;='Box Library'!$F$6))</f>
        <v/>
      </c>
      <c r="K64" s="13">
        <f>IF('Product Data'!A64="","",AND($C64&lt;='Box Library'!$C$7,$D64&lt;='Box Library'!$D$7,$E64&lt;='Box Library'!$E$7,$F64&lt;='Box Library'!$F$7))</f>
        <v/>
      </c>
      <c r="L64" s="13">
        <f>IF('Product Data'!A64="","",AND($C64&lt;='Box Library'!$C$8,$D64&lt;='Box Library'!$D$8,$E64&lt;='Box Library'!$E$8,$F64&lt;='Box Library'!$F$8))</f>
        <v/>
      </c>
      <c r="M64" s="13">
        <f>IF('Product Data'!A64="","",IF(H64,'Box Library'!$A$4,IF(I64,'Box Library'!$A$5,IF(J64,'Box Library'!$A$6,IF(K64,'Box Library'!$A$7,IF(L64,'Box Library'!$A$8,"NO BOX FITS"))))))</f>
        <v/>
      </c>
      <c r="N64" s="15">
        <f>IF('Product Data'!A64="","",IF(H64,'Box Library'!$G$4,IF(I64,'Box Library'!$G$5,IF(J64,'Box Library'!$G$6,IF(K64,'Box Library'!$G$7,IF(L64,'Box Library'!$G$8,0))))))</f>
        <v/>
      </c>
      <c r="O64" s="16">
        <f>IF('Product Data'!A64="","",IF(M64="NO BOX FITS",0,G64/(IF(H64,'Box Library'!$H$4,IF(I64,'Box Library'!$H$5,IF(J64,'Box Library'!$H$6,IF(K64,'Box Library'!$H$7,'Box Library'!$H$8)))))))</f>
        <v/>
      </c>
      <c r="P64" s="6">
        <f>IF('Product Data'!A64="","",IF(M64="NO BOX FITS","REVIEW - NO STANDARD BOX FITS","OK"))</f>
        <v/>
      </c>
    </row>
    <row r="65">
      <c r="A65" s="13">
        <f>IF('Product Data'!A65="","",'Product Data'!A65)</f>
        <v/>
      </c>
      <c r="B65" s="13">
        <f>IF('Product Data'!A65="","",'Product Data'!B65)</f>
        <v/>
      </c>
      <c r="C65" s="14">
        <f>IF('Product Data'!A65="","",'Product Data'!C65)</f>
        <v/>
      </c>
      <c r="D65" s="14">
        <f>IF('Product Data'!A65="","",'Product Data'!D65)</f>
        <v/>
      </c>
      <c r="E65" s="14">
        <f>IF('Product Data'!A65="","",'Product Data'!E65)</f>
        <v/>
      </c>
      <c r="F65" s="14">
        <f>IF('Product Data'!A65="","",'Product Data'!F65)</f>
        <v/>
      </c>
      <c r="G65" s="9">
        <f>IF('Product Data'!A65="","",C65*D65*E65)</f>
        <v/>
      </c>
      <c r="H65" s="13">
        <f>IF('Product Data'!A65="","",AND($C65&lt;='Box Library'!$C$4,$D65&lt;='Box Library'!$D$4,$E65&lt;='Box Library'!$E$4,$F65&lt;='Box Library'!$F$4))</f>
        <v/>
      </c>
      <c r="I65" s="13">
        <f>IF('Product Data'!A65="","",AND($C65&lt;='Box Library'!$C$5,$D65&lt;='Box Library'!$D$5,$E65&lt;='Box Library'!$E$5,$F65&lt;='Box Library'!$F$5))</f>
        <v/>
      </c>
      <c r="J65" s="13">
        <f>IF('Product Data'!A65="","",AND($C65&lt;='Box Library'!$C$6,$D65&lt;='Box Library'!$D$6,$E65&lt;='Box Library'!$E$6,$F65&lt;='Box Library'!$F$6))</f>
        <v/>
      </c>
      <c r="K65" s="13">
        <f>IF('Product Data'!A65="","",AND($C65&lt;='Box Library'!$C$7,$D65&lt;='Box Library'!$D$7,$E65&lt;='Box Library'!$E$7,$F65&lt;='Box Library'!$F$7))</f>
        <v/>
      </c>
      <c r="L65" s="13">
        <f>IF('Product Data'!A65="","",AND($C65&lt;='Box Library'!$C$8,$D65&lt;='Box Library'!$D$8,$E65&lt;='Box Library'!$E$8,$F65&lt;='Box Library'!$F$8))</f>
        <v/>
      </c>
      <c r="M65" s="13">
        <f>IF('Product Data'!A65="","",IF(H65,'Box Library'!$A$4,IF(I65,'Box Library'!$A$5,IF(J65,'Box Library'!$A$6,IF(K65,'Box Library'!$A$7,IF(L65,'Box Library'!$A$8,"NO BOX FITS"))))))</f>
        <v/>
      </c>
      <c r="N65" s="15">
        <f>IF('Product Data'!A65="","",IF(H65,'Box Library'!$G$4,IF(I65,'Box Library'!$G$5,IF(J65,'Box Library'!$G$6,IF(K65,'Box Library'!$G$7,IF(L65,'Box Library'!$G$8,0))))))</f>
        <v/>
      </c>
      <c r="O65" s="16">
        <f>IF('Product Data'!A65="","",IF(M65="NO BOX FITS",0,G65/(IF(H65,'Box Library'!$H$4,IF(I65,'Box Library'!$H$5,IF(J65,'Box Library'!$H$6,IF(K65,'Box Library'!$H$7,'Box Library'!$H$8)))))))</f>
        <v/>
      </c>
      <c r="P65" s="6">
        <f>IF('Product Data'!A65="","",IF(M65="NO BOX FITS","REVIEW - NO STANDARD BOX FITS","OK"))</f>
        <v/>
      </c>
    </row>
    <row r="66">
      <c r="A66" s="13">
        <f>IF('Product Data'!A66="","",'Product Data'!A66)</f>
        <v/>
      </c>
      <c r="B66" s="13">
        <f>IF('Product Data'!A66="","",'Product Data'!B66)</f>
        <v/>
      </c>
      <c r="C66" s="14">
        <f>IF('Product Data'!A66="","",'Product Data'!C66)</f>
        <v/>
      </c>
      <c r="D66" s="14">
        <f>IF('Product Data'!A66="","",'Product Data'!D66)</f>
        <v/>
      </c>
      <c r="E66" s="14">
        <f>IF('Product Data'!A66="","",'Product Data'!E66)</f>
        <v/>
      </c>
      <c r="F66" s="14">
        <f>IF('Product Data'!A66="","",'Product Data'!F66)</f>
        <v/>
      </c>
      <c r="G66" s="9">
        <f>IF('Product Data'!A66="","",C66*D66*E66)</f>
        <v/>
      </c>
      <c r="H66" s="13">
        <f>IF('Product Data'!A66="","",AND($C66&lt;='Box Library'!$C$4,$D66&lt;='Box Library'!$D$4,$E66&lt;='Box Library'!$E$4,$F66&lt;='Box Library'!$F$4))</f>
        <v/>
      </c>
      <c r="I66" s="13">
        <f>IF('Product Data'!A66="","",AND($C66&lt;='Box Library'!$C$5,$D66&lt;='Box Library'!$D$5,$E66&lt;='Box Library'!$E$5,$F66&lt;='Box Library'!$F$5))</f>
        <v/>
      </c>
      <c r="J66" s="13">
        <f>IF('Product Data'!A66="","",AND($C66&lt;='Box Library'!$C$6,$D66&lt;='Box Library'!$D$6,$E66&lt;='Box Library'!$E$6,$F66&lt;='Box Library'!$F$6))</f>
        <v/>
      </c>
      <c r="K66" s="13">
        <f>IF('Product Data'!A66="","",AND($C66&lt;='Box Library'!$C$7,$D66&lt;='Box Library'!$D$7,$E66&lt;='Box Library'!$E$7,$F66&lt;='Box Library'!$F$7))</f>
        <v/>
      </c>
      <c r="L66" s="13">
        <f>IF('Product Data'!A66="","",AND($C66&lt;='Box Library'!$C$8,$D66&lt;='Box Library'!$D$8,$E66&lt;='Box Library'!$E$8,$F66&lt;='Box Library'!$F$8))</f>
        <v/>
      </c>
      <c r="M66" s="13">
        <f>IF('Product Data'!A66="","",IF(H66,'Box Library'!$A$4,IF(I66,'Box Library'!$A$5,IF(J66,'Box Library'!$A$6,IF(K66,'Box Library'!$A$7,IF(L66,'Box Library'!$A$8,"NO BOX FITS"))))))</f>
        <v/>
      </c>
      <c r="N66" s="15">
        <f>IF('Product Data'!A66="","",IF(H66,'Box Library'!$G$4,IF(I66,'Box Library'!$G$5,IF(J66,'Box Library'!$G$6,IF(K66,'Box Library'!$G$7,IF(L66,'Box Library'!$G$8,0))))))</f>
        <v/>
      </c>
      <c r="O66" s="16">
        <f>IF('Product Data'!A66="","",IF(M66="NO BOX FITS",0,G66/(IF(H66,'Box Library'!$H$4,IF(I66,'Box Library'!$H$5,IF(J66,'Box Library'!$H$6,IF(K66,'Box Library'!$H$7,'Box Library'!$H$8)))))))</f>
        <v/>
      </c>
      <c r="P66" s="6">
        <f>IF('Product Data'!A66="","",IF(M66="NO BOX FITS","REVIEW - NO STANDARD BOX FITS","OK"))</f>
        <v/>
      </c>
    </row>
    <row r="67">
      <c r="A67" s="13">
        <f>IF('Product Data'!A67="","",'Product Data'!A67)</f>
        <v/>
      </c>
      <c r="B67" s="13">
        <f>IF('Product Data'!A67="","",'Product Data'!B67)</f>
        <v/>
      </c>
      <c r="C67" s="14">
        <f>IF('Product Data'!A67="","",'Product Data'!C67)</f>
        <v/>
      </c>
      <c r="D67" s="14">
        <f>IF('Product Data'!A67="","",'Product Data'!D67)</f>
        <v/>
      </c>
      <c r="E67" s="14">
        <f>IF('Product Data'!A67="","",'Product Data'!E67)</f>
        <v/>
      </c>
      <c r="F67" s="14">
        <f>IF('Product Data'!A67="","",'Product Data'!F67)</f>
        <v/>
      </c>
      <c r="G67" s="9">
        <f>IF('Product Data'!A67="","",C67*D67*E67)</f>
        <v/>
      </c>
      <c r="H67" s="13">
        <f>IF('Product Data'!A67="","",AND($C67&lt;='Box Library'!$C$4,$D67&lt;='Box Library'!$D$4,$E67&lt;='Box Library'!$E$4,$F67&lt;='Box Library'!$F$4))</f>
        <v/>
      </c>
      <c r="I67" s="13">
        <f>IF('Product Data'!A67="","",AND($C67&lt;='Box Library'!$C$5,$D67&lt;='Box Library'!$D$5,$E67&lt;='Box Library'!$E$5,$F67&lt;='Box Library'!$F$5))</f>
        <v/>
      </c>
      <c r="J67" s="13">
        <f>IF('Product Data'!A67="","",AND($C67&lt;='Box Library'!$C$6,$D67&lt;='Box Library'!$D$6,$E67&lt;='Box Library'!$E$6,$F67&lt;='Box Library'!$F$6))</f>
        <v/>
      </c>
      <c r="K67" s="13">
        <f>IF('Product Data'!A67="","",AND($C67&lt;='Box Library'!$C$7,$D67&lt;='Box Library'!$D$7,$E67&lt;='Box Library'!$E$7,$F67&lt;='Box Library'!$F$7))</f>
        <v/>
      </c>
      <c r="L67" s="13">
        <f>IF('Product Data'!A67="","",AND($C67&lt;='Box Library'!$C$8,$D67&lt;='Box Library'!$D$8,$E67&lt;='Box Library'!$E$8,$F67&lt;='Box Library'!$F$8))</f>
        <v/>
      </c>
      <c r="M67" s="13">
        <f>IF('Product Data'!A67="","",IF(H67,'Box Library'!$A$4,IF(I67,'Box Library'!$A$5,IF(J67,'Box Library'!$A$6,IF(K67,'Box Library'!$A$7,IF(L67,'Box Library'!$A$8,"NO BOX FITS"))))))</f>
        <v/>
      </c>
      <c r="N67" s="15">
        <f>IF('Product Data'!A67="","",IF(H67,'Box Library'!$G$4,IF(I67,'Box Library'!$G$5,IF(J67,'Box Library'!$G$6,IF(K67,'Box Library'!$G$7,IF(L67,'Box Library'!$G$8,0))))))</f>
        <v/>
      </c>
      <c r="O67" s="16">
        <f>IF('Product Data'!A67="","",IF(M67="NO BOX FITS",0,G67/(IF(H67,'Box Library'!$H$4,IF(I67,'Box Library'!$H$5,IF(J67,'Box Library'!$H$6,IF(K67,'Box Library'!$H$7,'Box Library'!$H$8)))))))</f>
        <v/>
      </c>
      <c r="P67" s="6">
        <f>IF('Product Data'!A67="","",IF(M67="NO BOX FITS","REVIEW - NO STANDARD BOX FITS","OK"))</f>
        <v/>
      </c>
    </row>
    <row r="68">
      <c r="A68" s="13">
        <f>IF('Product Data'!A68="","",'Product Data'!A68)</f>
        <v/>
      </c>
      <c r="B68" s="13">
        <f>IF('Product Data'!A68="","",'Product Data'!B68)</f>
        <v/>
      </c>
      <c r="C68" s="14">
        <f>IF('Product Data'!A68="","",'Product Data'!C68)</f>
        <v/>
      </c>
      <c r="D68" s="14">
        <f>IF('Product Data'!A68="","",'Product Data'!D68)</f>
        <v/>
      </c>
      <c r="E68" s="14">
        <f>IF('Product Data'!A68="","",'Product Data'!E68)</f>
        <v/>
      </c>
      <c r="F68" s="14">
        <f>IF('Product Data'!A68="","",'Product Data'!F68)</f>
        <v/>
      </c>
      <c r="G68" s="9">
        <f>IF('Product Data'!A68="","",C68*D68*E68)</f>
        <v/>
      </c>
      <c r="H68" s="13">
        <f>IF('Product Data'!A68="","",AND($C68&lt;='Box Library'!$C$4,$D68&lt;='Box Library'!$D$4,$E68&lt;='Box Library'!$E$4,$F68&lt;='Box Library'!$F$4))</f>
        <v/>
      </c>
      <c r="I68" s="13">
        <f>IF('Product Data'!A68="","",AND($C68&lt;='Box Library'!$C$5,$D68&lt;='Box Library'!$D$5,$E68&lt;='Box Library'!$E$5,$F68&lt;='Box Library'!$F$5))</f>
        <v/>
      </c>
      <c r="J68" s="13">
        <f>IF('Product Data'!A68="","",AND($C68&lt;='Box Library'!$C$6,$D68&lt;='Box Library'!$D$6,$E68&lt;='Box Library'!$E$6,$F68&lt;='Box Library'!$F$6))</f>
        <v/>
      </c>
      <c r="K68" s="13">
        <f>IF('Product Data'!A68="","",AND($C68&lt;='Box Library'!$C$7,$D68&lt;='Box Library'!$D$7,$E68&lt;='Box Library'!$E$7,$F68&lt;='Box Library'!$F$7))</f>
        <v/>
      </c>
      <c r="L68" s="13">
        <f>IF('Product Data'!A68="","",AND($C68&lt;='Box Library'!$C$8,$D68&lt;='Box Library'!$D$8,$E68&lt;='Box Library'!$E$8,$F68&lt;='Box Library'!$F$8))</f>
        <v/>
      </c>
      <c r="M68" s="13">
        <f>IF('Product Data'!A68="","",IF(H68,'Box Library'!$A$4,IF(I68,'Box Library'!$A$5,IF(J68,'Box Library'!$A$6,IF(K68,'Box Library'!$A$7,IF(L68,'Box Library'!$A$8,"NO BOX FITS"))))))</f>
        <v/>
      </c>
      <c r="N68" s="15">
        <f>IF('Product Data'!A68="","",IF(H68,'Box Library'!$G$4,IF(I68,'Box Library'!$G$5,IF(J68,'Box Library'!$G$6,IF(K68,'Box Library'!$G$7,IF(L68,'Box Library'!$G$8,0))))))</f>
        <v/>
      </c>
      <c r="O68" s="16">
        <f>IF('Product Data'!A68="","",IF(M68="NO BOX FITS",0,G68/(IF(H68,'Box Library'!$H$4,IF(I68,'Box Library'!$H$5,IF(J68,'Box Library'!$H$6,IF(K68,'Box Library'!$H$7,'Box Library'!$H$8)))))))</f>
        <v/>
      </c>
      <c r="P68" s="6">
        <f>IF('Product Data'!A68="","",IF(M68="NO BOX FITS","REVIEW - NO STANDARD BOX FITS","OK"))</f>
        <v/>
      </c>
    </row>
    <row r="69">
      <c r="A69" s="13">
        <f>IF('Product Data'!A69="","",'Product Data'!A69)</f>
        <v/>
      </c>
      <c r="B69" s="13">
        <f>IF('Product Data'!A69="","",'Product Data'!B69)</f>
        <v/>
      </c>
      <c r="C69" s="14">
        <f>IF('Product Data'!A69="","",'Product Data'!C69)</f>
        <v/>
      </c>
      <c r="D69" s="14">
        <f>IF('Product Data'!A69="","",'Product Data'!D69)</f>
        <v/>
      </c>
      <c r="E69" s="14">
        <f>IF('Product Data'!A69="","",'Product Data'!E69)</f>
        <v/>
      </c>
      <c r="F69" s="14">
        <f>IF('Product Data'!A69="","",'Product Data'!F69)</f>
        <v/>
      </c>
      <c r="G69" s="9">
        <f>IF('Product Data'!A69="","",C69*D69*E69)</f>
        <v/>
      </c>
      <c r="H69" s="13">
        <f>IF('Product Data'!A69="","",AND($C69&lt;='Box Library'!$C$4,$D69&lt;='Box Library'!$D$4,$E69&lt;='Box Library'!$E$4,$F69&lt;='Box Library'!$F$4))</f>
        <v/>
      </c>
      <c r="I69" s="13">
        <f>IF('Product Data'!A69="","",AND($C69&lt;='Box Library'!$C$5,$D69&lt;='Box Library'!$D$5,$E69&lt;='Box Library'!$E$5,$F69&lt;='Box Library'!$F$5))</f>
        <v/>
      </c>
      <c r="J69" s="13">
        <f>IF('Product Data'!A69="","",AND($C69&lt;='Box Library'!$C$6,$D69&lt;='Box Library'!$D$6,$E69&lt;='Box Library'!$E$6,$F69&lt;='Box Library'!$F$6))</f>
        <v/>
      </c>
      <c r="K69" s="13">
        <f>IF('Product Data'!A69="","",AND($C69&lt;='Box Library'!$C$7,$D69&lt;='Box Library'!$D$7,$E69&lt;='Box Library'!$E$7,$F69&lt;='Box Library'!$F$7))</f>
        <v/>
      </c>
      <c r="L69" s="13">
        <f>IF('Product Data'!A69="","",AND($C69&lt;='Box Library'!$C$8,$D69&lt;='Box Library'!$D$8,$E69&lt;='Box Library'!$E$8,$F69&lt;='Box Library'!$F$8))</f>
        <v/>
      </c>
      <c r="M69" s="13">
        <f>IF('Product Data'!A69="","",IF(H69,'Box Library'!$A$4,IF(I69,'Box Library'!$A$5,IF(J69,'Box Library'!$A$6,IF(K69,'Box Library'!$A$7,IF(L69,'Box Library'!$A$8,"NO BOX FITS"))))))</f>
        <v/>
      </c>
      <c r="N69" s="15">
        <f>IF('Product Data'!A69="","",IF(H69,'Box Library'!$G$4,IF(I69,'Box Library'!$G$5,IF(J69,'Box Library'!$G$6,IF(K69,'Box Library'!$G$7,IF(L69,'Box Library'!$G$8,0))))))</f>
        <v/>
      </c>
      <c r="O69" s="16">
        <f>IF('Product Data'!A69="","",IF(M69="NO BOX FITS",0,G69/(IF(H69,'Box Library'!$H$4,IF(I69,'Box Library'!$H$5,IF(J69,'Box Library'!$H$6,IF(K69,'Box Library'!$H$7,'Box Library'!$H$8)))))))</f>
        <v/>
      </c>
      <c r="P69" s="6">
        <f>IF('Product Data'!A69="","",IF(M69="NO BOX FITS","REVIEW - NO STANDARD BOX FITS","OK"))</f>
        <v/>
      </c>
    </row>
    <row r="70">
      <c r="A70" s="13">
        <f>IF('Product Data'!A70="","",'Product Data'!A70)</f>
        <v/>
      </c>
      <c r="B70" s="13">
        <f>IF('Product Data'!A70="","",'Product Data'!B70)</f>
        <v/>
      </c>
      <c r="C70" s="14">
        <f>IF('Product Data'!A70="","",'Product Data'!C70)</f>
        <v/>
      </c>
      <c r="D70" s="14">
        <f>IF('Product Data'!A70="","",'Product Data'!D70)</f>
        <v/>
      </c>
      <c r="E70" s="14">
        <f>IF('Product Data'!A70="","",'Product Data'!E70)</f>
        <v/>
      </c>
      <c r="F70" s="14">
        <f>IF('Product Data'!A70="","",'Product Data'!F70)</f>
        <v/>
      </c>
      <c r="G70" s="9">
        <f>IF('Product Data'!A70="","",C70*D70*E70)</f>
        <v/>
      </c>
      <c r="H70" s="13">
        <f>IF('Product Data'!A70="","",AND($C70&lt;='Box Library'!$C$4,$D70&lt;='Box Library'!$D$4,$E70&lt;='Box Library'!$E$4,$F70&lt;='Box Library'!$F$4))</f>
        <v/>
      </c>
      <c r="I70" s="13">
        <f>IF('Product Data'!A70="","",AND($C70&lt;='Box Library'!$C$5,$D70&lt;='Box Library'!$D$5,$E70&lt;='Box Library'!$E$5,$F70&lt;='Box Library'!$F$5))</f>
        <v/>
      </c>
      <c r="J70" s="13">
        <f>IF('Product Data'!A70="","",AND($C70&lt;='Box Library'!$C$6,$D70&lt;='Box Library'!$D$6,$E70&lt;='Box Library'!$E$6,$F70&lt;='Box Library'!$F$6))</f>
        <v/>
      </c>
      <c r="K70" s="13">
        <f>IF('Product Data'!A70="","",AND($C70&lt;='Box Library'!$C$7,$D70&lt;='Box Library'!$D$7,$E70&lt;='Box Library'!$E$7,$F70&lt;='Box Library'!$F$7))</f>
        <v/>
      </c>
      <c r="L70" s="13">
        <f>IF('Product Data'!A70="","",AND($C70&lt;='Box Library'!$C$8,$D70&lt;='Box Library'!$D$8,$E70&lt;='Box Library'!$E$8,$F70&lt;='Box Library'!$F$8))</f>
        <v/>
      </c>
      <c r="M70" s="13">
        <f>IF('Product Data'!A70="","",IF(H70,'Box Library'!$A$4,IF(I70,'Box Library'!$A$5,IF(J70,'Box Library'!$A$6,IF(K70,'Box Library'!$A$7,IF(L70,'Box Library'!$A$8,"NO BOX FITS"))))))</f>
        <v/>
      </c>
      <c r="N70" s="15">
        <f>IF('Product Data'!A70="","",IF(H70,'Box Library'!$G$4,IF(I70,'Box Library'!$G$5,IF(J70,'Box Library'!$G$6,IF(K70,'Box Library'!$G$7,IF(L70,'Box Library'!$G$8,0))))))</f>
        <v/>
      </c>
      <c r="O70" s="16">
        <f>IF('Product Data'!A70="","",IF(M70="NO BOX FITS",0,G70/(IF(H70,'Box Library'!$H$4,IF(I70,'Box Library'!$H$5,IF(J70,'Box Library'!$H$6,IF(K70,'Box Library'!$H$7,'Box Library'!$H$8)))))))</f>
        <v/>
      </c>
      <c r="P70" s="6">
        <f>IF('Product Data'!A70="","",IF(M70="NO BOX FITS","REVIEW - NO STANDARD BOX FITS","OK"))</f>
        <v/>
      </c>
    </row>
    <row r="71">
      <c r="A71" s="13">
        <f>IF('Product Data'!A71="","",'Product Data'!A71)</f>
        <v/>
      </c>
      <c r="B71" s="13">
        <f>IF('Product Data'!A71="","",'Product Data'!B71)</f>
        <v/>
      </c>
      <c r="C71" s="14">
        <f>IF('Product Data'!A71="","",'Product Data'!C71)</f>
        <v/>
      </c>
      <c r="D71" s="14">
        <f>IF('Product Data'!A71="","",'Product Data'!D71)</f>
        <v/>
      </c>
      <c r="E71" s="14">
        <f>IF('Product Data'!A71="","",'Product Data'!E71)</f>
        <v/>
      </c>
      <c r="F71" s="14">
        <f>IF('Product Data'!A71="","",'Product Data'!F71)</f>
        <v/>
      </c>
      <c r="G71" s="9">
        <f>IF('Product Data'!A71="","",C71*D71*E71)</f>
        <v/>
      </c>
      <c r="H71" s="13">
        <f>IF('Product Data'!A71="","",AND($C71&lt;='Box Library'!$C$4,$D71&lt;='Box Library'!$D$4,$E71&lt;='Box Library'!$E$4,$F71&lt;='Box Library'!$F$4))</f>
        <v/>
      </c>
      <c r="I71" s="13">
        <f>IF('Product Data'!A71="","",AND($C71&lt;='Box Library'!$C$5,$D71&lt;='Box Library'!$D$5,$E71&lt;='Box Library'!$E$5,$F71&lt;='Box Library'!$F$5))</f>
        <v/>
      </c>
      <c r="J71" s="13">
        <f>IF('Product Data'!A71="","",AND($C71&lt;='Box Library'!$C$6,$D71&lt;='Box Library'!$D$6,$E71&lt;='Box Library'!$E$6,$F71&lt;='Box Library'!$F$6))</f>
        <v/>
      </c>
      <c r="K71" s="13">
        <f>IF('Product Data'!A71="","",AND($C71&lt;='Box Library'!$C$7,$D71&lt;='Box Library'!$D$7,$E71&lt;='Box Library'!$E$7,$F71&lt;='Box Library'!$F$7))</f>
        <v/>
      </c>
      <c r="L71" s="13">
        <f>IF('Product Data'!A71="","",AND($C71&lt;='Box Library'!$C$8,$D71&lt;='Box Library'!$D$8,$E71&lt;='Box Library'!$E$8,$F71&lt;='Box Library'!$F$8))</f>
        <v/>
      </c>
      <c r="M71" s="13">
        <f>IF('Product Data'!A71="","",IF(H71,'Box Library'!$A$4,IF(I71,'Box Library'!$A$5,IF(J71,'Box Library'!$A$6,IF(K71,'Box Library'!$A$7,IF(L71,'Box Library'!$A$8,"NO BOX FITS"))))))</f>
        <v/>
      </c>
      <c r="N71" s="15">
        <f>IF('Product Data'!A71="","",IF(H71,'Box Library'!$G$4,IF(I71,'Box Library'!$G$5,IF(J71,'Box Library'!$G$6,IF(K71,'Box Library'!$G$7,IF(L71,'Box Library'!$G$8,0))))))</f>
        <v/>
      </c>
      <c r="O71" s="16">
        <f>IF('Product Data'!A71="","",IF(M71="NO BOX FITS",0,G71/(IF(H71,'Box Library'!$H$4,IF(I71,'Box Library'!$H$5,IF(J71,'Box Library'!$H$6,IF(K71,'Box Library'!$H$7,'Box Library'!$H$8)))))))</f>
        <v/>
      </c>
      <c r="P71" s="6">
        <f>IF('Product Data'!A71="","",IF(M71="NO BOX FITS","REVIEW - NO STANDARD BOX FITS","OK"))</f>
        <v/>
      </c>
    </row>
    <row r="72">
      <c r="A72" s="13">
        <f>IF('Product Data'!A72="","",'Product Data'!A72)</f>
        <v/>
      </c>
      <c r="B72" s="13">
        <f>IF('Product Data'!A72="","",'Product Data'!B72)</f>
        <v/>
      </c>
      <c r="C72" s="14">
        <f>IF('Product Data'!A72="","",'Product Data'!C72)</f>
        <v/>
      </c>
      <c r="D72" s="14">
        <f>IF('Product Data'!A72="","",'Product Data'!D72)</f>
        <v/>
      </c>
      <c r="E72" s="14">
        <f>IF('Product Data'!A72="","",'Product Data'!E72)</f>
        <v/>
      </c>
      <c r="F72" s="14">
        <f>IF('Product Data'!A72="","",'Product Data'!F72)</f>
        <v/>
      </c>
      <c r="G72" s="9">
        <f>IF('Product Data'!A72="","",C72*D72*E72)</f>
        <v/>
      </c>
      <c r="H72" s="13">
        <f>IF('Product Data'!A72="","",AND($C72&lt;='Box Library'!$C$4,$D72&lt;='Box Library'!$D$4,$E72&lt;='Box Library'!$E$4,$F72&lt;='Box Library'!$F$4))</f>
        <v/>
      </c>
      <c r="I72" s="13">
        <f>IF('Product Data'!A72="","",AND($C72&lt;='Box Library'!$C$5,$D72&lt;='Box Library'!$D$5,$E72&lt;='Box Library'!$E$5,$F72&lt;='Box Library'!$F$5))</f>
        <v/>
      </c>
      <c r="J72" s="13">
        <f>IF('Product Data'!A72="","",AND($C72&lt;='Box Library'!$C$6,$D72&lt;='Box Library'!$D$6,$E72&lt;='Box Library'!$E$6,$F72&lt;='Box Library'!$F$6))</f>
        <v/>
      </c>
      <c r="K72" s="13">
        <f>IF('Product Data'!A72="","",AND($C72&lt;='Box Library'!$C$7,$D72&lt;='Box Library'!$D$7,$E72&lt;='Box Library'!$E$7,$F72&lt;='Box Library'!$F$7))</f>
        <v/>
      </c>
      <c r="L72" s="13">
        <f>IF('Product Data'!A72="","",AND($C72&lt;='Box Library'!$C$8,$D72&lt;='Box Library'!$D$8,$E72&lt;='Box Library'!$E$8,$F72&lt;='Box Library'!$F$8))</f>
        <v/>
      </c>
      <c r="M72" s="13">
        <f>IF('Product Data'!A72="","",IF(H72,'Box Library'!$A$4,IF(I72,'Box Library'!$A$5,IF(J72,'Box Library'!$A$6,IF(K72,'Box Library'!$A$7,IF(L72,'Box Library'!$A$8,"NO BOX FITS"))))))</f>
        <v/>
      </c>
      <c r="N72" s="15">
        <f>IF('Product Data'!A72="","",IF(H72,'Box Library'!$G$4,IF(I72,'Box Library'!$G$5,IF(J72,'Box Library'!$G$6,IF(K72,'Box Library'!$G$7,IF(L72,'Box Library'!$G$8,0))))))</f>
        <v/>
      </c>
      <c r="O72" s="16">
        <f>IF('Product Data'!A72="","",IF(M72="NO BOX FITS",0,G72/(IF(H72,'Box Library'!$H$4,IF(I72,'Box Library'!$H$5,IF(J72,'Box Library'!$H$6,IF(K72,'Box Library'!$H$7,'Box Library'!$H$8)))))))</f>
        <v/>
      </c>
      <c r="P72" s="6">
        <f>IF('Product Data'!A72="","",IF(M72="NO BOX FITS","REVIEW - NO STANDARD BOX FITS","OK"))</f>
        <v/>
      </c>
    </row>
    <row r="73">
      <c r="A73" s="13">
        <f>IF('Product Data'!A73="","",'Product Data'!A73)</f>
        <v/>
      </c>
      <c r="B73" s="13">
        <f>IF('Product Data'!A73="","",'Product Data'!B73)</f>
        <v/>
      </c>
      <c r="C73" s="14">
        <f>IF('Product Data'!A73="","",'Product Data'!C73)</f>
        <v/>
      </c>
      <c r="D73" s="14">
        <f>IF('Product Data'!A73="","",'Product Data'!D73)</f>
        <v/>
      </c>
      <c r="E73" s="14">
        <f>IF('Product Data'!A73="","",'Product Data'!E73)</f>
        <v/>
      </c>
      <c r="F73" s="14">
        <f>IF('Product Data'!A73="","",'Product Data'!F73)</f>
        <v/>
      </c>
      <c r="G73" s="9">
        <f>IF('Product Data'!A73="","",C73*D73*E73)</f>
        <v/>
      </c>
      <c r="H73" s="13">
        <f>IF('Product Data'!A73="","",AND($C73&lt;='Box Library'!$C$4,$D73&lt;='Box Library'!$D$4,$E73&lt;='Box Library'!$E$4,$F73&lt;='Box Library'!$F$4))</f>
        <v/>
      </c>
      <c r="I73" s="13">
        <f>IF('Product Data'!A73="","",AND($C73&lt;='Box Library'!$C$5,$D73&lt;='Box Library'!$D$5,$E73&lt;='Box Library'!$E$5,$F73&lt;='Box Library'!$F$5))</f>
        <v/>
      </c>
      <c r="J73" s="13">
        <f>IF('Product Data'!A73="","",AND($C73&lt;='Box Library'!$C$6,$D73&lt;='Box Library'!$D$6,$E73&lt;='Box Library'!$E$6,$F73&lt;='Box Library'!$F$6))</f>
        <v/>
      </c>
      <c r="K73" s="13">
        <f>IF('Product Data'!A73="","",AND($C73&lt;='Box Library'!$C$7,$D73&lt;='Box Library'!$D$7,$E73&lt;='Box Library'!$E$7,$F73&lt;='Box Library'!$F$7))</f>
        <v/>
      </c>
      <c r="L73" s="13">
        <f>IF('Product Data'!A73="","",AND($C73&lt;='Box Library'!$C$8,$D73&lt;='Box Library'!$D$8,$E73&lt;='Box Library'!$E$8,$F73&lt;='Box Library'!$F$8))</f>
        <v/>
      </c>
      <c r="M73" s="13">
        <f>IF('Product Data'!A73="","",IF(H73,'Box Library'!$A$4,IF(I73,'Box Library'!$A$5,IF(J73,'Box Library'!$A$6,IF(K73,'Box Library'!$A$7,IF(L73,'Box Library'!$A$8,"NO BOX FITS"))))))</f>
        <v/>
      </c>
      <c r="N73" s="15">
        <f>IF('Product Data'!A73="","",IF(H73,'Box Library'!$G$4,IF(I73,'Box Library'!$G$5,IF(J73,'Box Library'!$G$6,IF(K73,'Box Library'!$G$7,IF(L73,'Box Library'!$G$8,0))))))</f>
        <v/>
      </c>
      <c r="O73" s="16">
        <f>IF('Product Data'!A73="","",IF(M73="NO BOX FITS",0,G73/(IF(H73,'Box Library'!$H$4,IF(I73,'Box Library'!$H$5,IF(J73,'Box Library'!$H$6,IF(K73,'Box Library'!$H$7,'Box Library'!$H$8)))))))</f>
        <v/>
      </c>
      <c r="P73" s="6">
        <f>IF('Product Data'!A73="","",IF(M73="NO BOX FITS","REVIEW - NO STANDARD BOX FITS","OK"))</f>
        <v/>
      </c>
    </row>
    <row r="74">
      <c r="A74" s="13">
        <f>IF('Product Data'!A74="","",'Product Data'!A74)</f>
        <v/>
      </c>
      <c r="B74" s="13">
        <f>IF('Product Data'!A74="","",'Product Data'!B74)</f>
        <v/>
      </c>
      <c r="C74" s="14">
        <f>IF('Product Data'!A74="","",'Product Data'!C74)</f>
        <v/>
      </c>
      <c r="D74" s="14">
        <f>IF('Product Data'!A74="","",'Product Data'!D74)</f>
        <v/>
      </c>
      <c r="E74" s="14">
        <f>IF('Product Data'!A74="","",'Product Data'!E74)</f>
        <v/>
      </c>
      <c r="F74" s="14">
        <f>IF('Product Data'!A74="","",'Product Data'!F74)</f>
        <v/>
      </c>
      <c r="G74" s="9">
        <f>IF('Product Data'!A74="","",C74*D74*E74)</f>
        <v/>
      </c>
      <c r="H74" s="13">
        <f>IF('Product Data'!A74="","",AND($C74&lt;='Box Library'!$C$4,$D74&lt;='Box Library'!$D$4,$E74&lt;='Box Library'!$E$4,$F74&lt;='Box Library'!$F$4))</f>
        <v/>
      </c>
      <c r="I74" s="13">
        <f>IF('Product Data'!A74="","",AND($C74&lt;='Box Library'!$C$5,$D74&lt;='Box Library'!$D$5,$E74&lt;='Box Library'!$E$5,$F74&lt;='Box Library'!$F$5))</f>
        <v/>
      </c>
      <c r="J74" s="13">
        <f>IF('Product Data'!A74="","",AND($C74&lt;='Box Library'!$C$6,$D74&lt;='Box Library'!$D$6,$E74&lt;='Box Library'!$E$6,$F74&lt;='Box Library'!$F$6))</f>
        <v/>
      </c>
      <c r="K74" s="13">
        <f>IF('Product Data'!A74="","",AND($C74&lt;='Box Library'!$C$7,$D74&lt;='Box Library'!$D$7,$E74&lt;='Box Library'!$E$7,$F74&lt;='Box Library'!$F$7))</f>
        <v/>
      </c>
      <c r="L74" s="13">
        <f>IF('Product Data'!A74="","",AND($C74&lt;='Box Library'!$C$8,$D74&lt;='Box Library'!$D$8,$E74&lt;='Box Library'!$E$8,$F74&lt;='Box Library'!$F$8))</f>
        <v/>
      </c>
      <c r="M74" s="13">
        <f>IF('Product Data'!A74="","",IF(H74,'Box Library'!$A$4,IF(I74,'Box Library'!$A$5,IF(J74,'Box Library'!$A$6,IF(K74,'Box Library'!$A$7,IF(L74,'Box Library'!$A$8,"NO BOX FITS"))))))</f>
        <v/>
      </c>
      <c r="N74" s="15">
        <f>IF('Product Data'!A74="","",IF(H74,'Box Library'!$G$4,IF(I74,'Box Library'!$G$5,IF(J74,'Box Library'!$G$6,IF(K74,'Box Library'!$G$7,IF(L74,'Box Library'!$G$8,0))))))</f>
        <v/>
      </c>
      <c r="O74" s="16">
        <f>IF('Product Data'!A74="","",IF(M74="NO BOX FITS",0,G74/(IF(H74,'Box Library'!$H$4,IF(I74,'Box Library'!$H$5,IF(J74,'Box Library'!$H$6,IF(K74,'Box Library'!$H$7,'Box Library'!$H$8)))))))</f>
        <v/>
      </c>
      <c r="P74" s="6">
        <f>IF('Product Data'!A74="","",IF(M74="NO BOX FITS","REVIEW - NO STANDARD BOX FITS","OK"))</f>
        <v/>
      </c>
    </row>
    <row r="75">
      <c r="A75" s="13">
        <f>IF('Product Data'!A75="","",'Product Data'!A75)</f>
        <v/>
      </c>
      <c r="B75" s="13">
        <f>IF('Product Data'!A75="","",'Product Data'!B75)</f>
        <v/>
      </c>
      <c r="C75" s="14">
        <f>IF('Product Data'!A75="","",'Product Data'!C75)</f>
        <v/>
      </c>
      <c r="D75" s="14">
        <f>IF('Product Data'!A75="","",'Product Data'!D75)</f>
        <v/>
      </c>
      <c r="E75" s="14">
        <f>IF('Product Data'!A75="","",'Product Data'!E75)</f>
        <v/>
      </c>
      <c r="F75" s="14">
        <f>IF('Product Data'!A75="","",'Product Data'!F75)</f>
        <v/>
      </c>
      <c r="G75" s="9">
        <f>IF('Product Data'!A75="","",C75*D75*E75)</f>
        <v/>
      </c>
      <c r="H75" s="13">
        <f>IF('Product Data'!A75="","",AND($C75&lt;='Box Library'!$C$4,$D75&lt;='Box Library'!$D$4,$E75&lt;='Box Library'!$E$4,$F75&lt;='Box Library'!$F$4))</f>
        <v/>
      </c>
      <c r="I75" s="13">
        <f>IF('Product Data'!A75="","",AND($C75&lt;='Box Library'!$C$5,$D75&lt;='Box Library'!$D$5,$E75&lt;='Box Library'!$E$5,$F75&lt;='Box Library'!$F$5))</f>
        <v/>
      </c>
      <c r="J75" s="13">
        <f>IF('Product Data'!A75="","",AND($C75&lt;='Box Library'!$C$6,$D75&lt;='Box Library'!$D$6,$E75&lt;='Box Library'!$E$6,$F75&lt;='Box Library'!$F$6))</f>
        <v/>
      </c>
      <c r="K75" s="13">
        <f>IF('Product Data'!A75="","",AND($C75&lt;='Box Library'!$C$7,$D75&lt;='Box Library'!$D$7,$E75&lt;='Box Library'!$E$7,$F75&lt;='Box Library'!$F$7))</f>
        <v/>
      </c>
      <c r="L75" s="13">
        <f>IF('Product Data'!A75="","",AND($C75&lt;='Box Library'!$C$8,$D75&lt;='Box Library'!$D$8,$E75&lt;='Box Library'!$E$8,$F75&lt;='Box Library'!$F$8))</f>
        <v/>
      </c>
      <c r="M75" s="13">
        <f>IF('Product Data'!A75="","",IF(H75,'Box Library'!$A$4,IF(I75,'Box Library'!$A$5,IF(J75,'Box Library'!$A$6,IF(K75,'Box Library'!$A$7,IF(L75,'Box Library'!$A$8,"NO BOX FITS"))))))</f>
        <v/>
      </c>
      <c r="N75" s="15">
        <f>IF('Product Data'!A75="","",IF(H75,'Box Library'!$G$4,IF(I75,'Box Library'!$G$5,IF(J75,'Box Library'!$G$6,IF(K75,'Box Library'!$G$7,IF(L75,'Box Library'!$G$8,0))))))</f>
        <v/>
      </c>
      <c r="O75" s="16">
        <f>IF('Product Data'!A75="","",IF(M75="NO BOX FITS",0,G75/(IF(H75,'Box Library'!$H$4,IF(I75,'Box Library'!$H$5,IF(J75,'Box Library'!$H$6,IF(K75,'Box Library'!$H$7,'Box Library'!$H$8)))))))</f>
        <v/>
      </c>
      <c r="P75" s="6">
        <f>IF('Product Data'!A75="","",IF(M75="NO BOX FITS","REVIEW - NO STANDARD BOX FITS","OK"))</f>
        <v/>
      </c>
    </row>
    <row r="76">
      <c r="A76" s="13">
        <f>IF('Product Data'!A76="","",'Product Data'!A76)</f>
        <v/>
      </c>
      <c r="B76" s="13">
        <f>IF('Product Data'!A76="","",'Product Data'!B76)</f>
        <v/>
      </c>
      <c r="C76" s="14">
        <f>IF('Product Data'!A76="","",'Product Data'!C76)</f>
        <v/>
      </c>
      <c r="D76" s="14">
        <f>IF('Product Data'!A76="","",'Product Data'!D76)</f>
        <v/>
      </c>
      <c r="E76" s="14">
        <f>IF('Product Data'!A76="","",'Product Data'!E76)</f>
        <v/>
      </c>
      <c r="F76" s="14">
        <f>IF('Product Data'!A76="","",'Product Data'!F76)</f>
        <v/>
      </c>
      <c r="G76" s="9">
        <f>IF('Product Data'!A76="","",C76*D76*E76)</f>
        <v/>
      </c>
      <c r="H76" s="13">
        <f>IF('Product Data'!A76="","",AND($C76&lt;='Box Library'!$C$4,$D76&lt;='Box Library'!$D$4,$E76&lt;='Box Library'!$E$4,$F76&lt;='Box Library'!$F$4))</f>
        <v/>
      </c>
      <c r="I76" s="13">
        <f>IF('Product Data'!A76="","",AND($C76&lt;='Box Library'!$C$5,$D76&lt;='Box Library'!$D$5,$E76&lt;='Box Library'!$E$5,$F76&lt;='Box Library'!$F$5))</f>
        <v/>
      </c>
      <c r="J76" s="13">
        <f>IF('Product Data'!A76="","",AND($C76&lt;='Box Library'!$C$6,$D76&lt;='Box Library'!$D$6,$E76&lt;='Box Library'!$E$6,$F76&lt;='Box Library'!$F$6))</f>
        <v/>
      </c>
      <c r="K76" s="13">
        <f>IF('Product Data'!A76="","",AND($C76&lt;='Box Library'!$C$7,$D76&lt;='Box Library'!$D$7,$E76&lt;='Box Library'!$E$7,$F76&lt;='Box Library'!$F$7))</f>
        <v/>
      </c>
      <c r="L76" s="13">
        <f>IF('Product Data'!A76="","",AND($C76&lt;='Box Library'!$C$8,$D76&lt;='Box Library'!$D$8,$E76&lt;='Box Library'!$E$8,$F76&lt;='Box Library'!$F$8))</f>
        <v/>
      </c>
      <c r="M76" s="13">
        <f>IF('Product Data'!A76="","",IF(H76,'Box Library'!$A$4,IF(I76,'Box Library'!$A$5,IF(J76,'Box Library'!$A$6,IF(K76,'Box Library'!$A$7,IF(L76,'Box Library'!$A$8,"NO BOX FITS"))))))</f>
        <v/>
      </c>
      <c r="N76" s="15">
        <f>IF('Product Data'!A76="","",IF(H76,'Box Library'!$G$4,IF(I76,'Box Library'!$G$5,IF(J76,'Box Library'!$G$6,IF(K76,'Box Library'!$G$7,IF(L76,'Box Library'!$G$8,0))))))</f>
        <v/>
      </c>
      <c r="O76" s="16">
        <f>IF('Product Data'!A76="","",IF(M76="NO BOX FITS",0,G76/(IF(H76,'Box Library'!$H$4,IF(I76,'Box Library'!$H$5,IF(J76,'Box Library'!$H$6,IF(K76,'Box Library'!$H$7,'Box Library'!$H$8)))))))</f>
        <v/>
      </c>
      <c r="P76" s="6">
        <f>IF('Product Data'!A76="","",IF(M76="NO BOX FITS","REVIEW - NO STANDARD BOX FITS","OK"))</f>
        <v/>
      </c>
    </row>
    <row r="77">
      <c r="A77" s="13">
        <f>IF('Product Data'!A77="","",'Product Data'!A77)</f>
        <v/>
      </c>
      <c r="B77" s="13">
        <f>IF('Product Data'!A77="","",'Product Data'!B77)</f>
        <v/>
      </c>
      <c r="C77" s="14">
        <f>IF('Product Data'!A77="","",'Product Data'!C77)</f>
        <v/>
      </c>
      <c r="D77" s="14">
        <f>IF('Product Data'!A77="","",'Product Data'!D77)</f>
        <v/>
      </c>
      <c r="E77" s="14">
        <f>IF('Product Data'!A77="","",'Product Data'!E77)</f>
        <v/>
      </c>
      <c r="F77" s="14">
        <f>IF('Product Data'!A77="","",'Product Data'!F77)</f>
        <v/>
      </c>
      <c r="G77" s="9">
        <f>IF('Product Data'!A77="","",C77*D77*E77)</f>
        <v/>
      </c>
      <c r="H77" s="13">
        <f>IF('Product Data'!A77="","",AND($C77&lt;='Box Library'!$C$4,$D77&lt;='Box Library'!$D$4,$E77&lt;='Box Library'!$E$4,$F77&lt;='Box Library'!$F$4))</f>
        <v/>
      </c>
      <c r="I77" s="13">
        <f>IF('Product Data'!A77="","",AND($C77&lt;='Box Library'!$C$5,$D77&lt;='Box Library'!$D$5,$E77&lt;='Box Library'!$E$5,$F77&lt;='Box Library'!$F$5))</f>
        <v/>
      </c>
      <c r="J77" s="13">
        <f>IF('Product Data'!A77="","",AND($C77&lt;='Box Library'!$C$6,$D77&lt;='Box Library'!$D$6,$E77&lt;='Box Library'!$E$6,$F77&lt;='Box Library'!$F$6))</f>
        <v/>
      </c>
      <c r="K77" s="13">
        <f>IF('Product Data'!A77="","",AND($C77&lt;='Box Library'!$C$7,$D77&lt;='Box Library'!$D$7,$E77&lt;='Box Library'!$E$7,$F77&lt;='Box Library'!$F$7))</f>
        <v/>
      </c>
      <c r="L77" s="13">
        <f>IF('Product Data'!A77="","",AND($C77&lt;='Box Library'!$C$8,$D77&lt;='Box Library'!$D$8,$E77&lt;='Box Library'!$E$8,$F77&lt;='Box Library'!$F$8))</f>
        <v/>
      </c>
      <c r="M77" s="13">
        <f>IF('Product Data'!A77="","",IF(H77,'Box Library'!$A$4,IF(I77,'Box Library'!$A$5,IF(J77,'Box Library'!$A$6,IF(K77,'Box Library'!$A$7,IF(L77,'Box Library'!$A$8,"NO BOX FITS"))))))</f>
        <v/>
      </c>
      <c r="N77" s="15">
        <f>IF('Product Data'!A77="","",IF(H77,'Box Library'!$G$4,IF(I77,'Box Library'!$G$5,IF(J77,'Box Library'!$G$6,IF(K77,'Box Library'!$G$7,IF(L77,'Box Library'!$G$8,0))))))</f>
        <v/>
      </c>
      <c r="O77" s="16">
        <f>IF('Product Data'!A77="","",IF(M77="NO BOX FITS",0,G77/(IF(H77,'Box Library'!$H$4,IF(I77,'Box Library'!$H$5,IF(J77,'Box Library'!$H$6,IF(K77,'Box Library'!$H$7,'Box Library'!$H$8)))))))</f>
        <v/>
      </c>
      <c r="P77" s="6">
        <f>IF('Product Data'!A77="","",IF(M77="NO BOX FITS","REVIEW - NO STANDARD BOX FITS","OK"))</f>
        <v/>
      </c>
    </row>
    <row r="78">
      <c r="A78" s="13">
        <f>IF('Product Data'!A78="","",'Product Data'!A78)</f>
        <v/>
      </c>
      <c r="B78" s="13">
        <f>IF('Product Data'!A78="","",'Product Data'!B78)</f>
        <v/>
      </c>
      <c r="C78" s="14">
        <f>IF('Product Data'!A78="","",'Product Data'!C78)</f>
        <v/>
      </c>
      <c r="D78" s="14">
        <f>IF('Product Data'!A78="","",'Product Data'!D78)</f>
        <v/>
      </c>
      <c r="E78" s="14">
        <f>IF('Product Data'!A78="","",'Product Data'!E78)</f>
        <v/>
      </c>
      <c r="F78" s="14">
        <f>IF('Product Data'!A78="","",'Product Data'!F78)</f>
        <v/>
      </c>
      <c r="G78" s="9">
        <f>IF('Product Data'!A78="","",C78*D78*E78)</f>
        <v/>
      </c>
      <c r="H78" s="13">
        <f>IF('Product Data'!A78="","",AND($C78&lt;='Box Library'!$C$4,$D78&lt;='Box Library'!$D$4,$E78&lt;='Box Library'!$E$4,$F78&lt;='Box Library'!$F$4))</f>
        <v/>
      </c>
      <c r="I78" s="13">
        <f>IF('Product Data'!A78="","",AND($C78&lt;='Box Library'!$C$5,$D78&lt;='Box Library'!$D$5,$E78&lt;='Box Library'!$E$5,$F78&lt;='Box Library'!$F$5))</f>
        <v/>
      </c>
      <c r="J78" s="13">
        <f>IF('Product Data'!A78="","",AND($C78&lt;='Box Library'!$C$6,$D78&lt;='Box Library'!$D$6,$E78&lt;='Box Library'!$E$6,$F78&lt;='Box Library'!$F$6))</f>
        <v/>
      </c>
      <c r="K78" s="13">
        <f>IF('Product Data'!A78="","",AND($C78&lt;='Box Library'!$C$7,$D78&lt;='Box Library'!$D$7,$E78&lt;='Box Library'!$E$7,$F78&lt;='Box Library'!$F$7))</f>
        <v/>
      </c>
      <c r="L78" s="13">
        <f>IF('Product Data'!A78="","",AND($C78&lt;='Box Library'!$C$8,$D78&lt;='Box Library'!$D$8,$E78&lt;='Box Library'!$E$8,$F78&lt;='Box Library'!$F$8))</f>
        <v/>
      </c>
      <c r="M78" s="13">
        <f>IF('Product Data'!A78="","",IF(H78,'Box Library'!$A$4,IF(I78,'Box Library'!$A$5,IF(J78,'Box Library'!$A$6,IF(K78,'Box Library'!$A$7,IF(L78,'Box Library'!$A$8,"NO BOX FITS"))))))</f>
        <v/>
      </c>
      <c r="N78" s="15">
        <f>IF('Product Data'!A78="","",IF(H78,'Box Library'!$G$4,IF(I78,'Box Library'!$G$5,IF(J78,'Box Library'!$G$6,IF(K78,'Box Library'!$G$7,IF(L78,'Box Library'!$G$8,0))))))</f>
        <v/>
      </c>
      <c r="O78" s="16">
        <f>IF('Product Data'!A78="","",IF(M78="NO BOX FITS",0,G78/(IF(H78,'Box Library'!$H$4,IF(I78,'Box Library'!$H$5,IF(J78,'Box Library'!$H$6,IF(K78,'Box Library'!$H$7,'Box Library'!$H$8)))))))</f>
        <v/>
      </c>
      <c r="P78" s="6">
        <f>IF('Product Data'!A78="","",IF(M78="NO BOX FITS","REVIEW - NO STANDARD BOX FITS","OK"))</f>
        <v/>
      </c>
    </row>
    <row r="79">
      <c r="A79" s="13">
        <f>IF('Product Data'!A79="","",'Product Data'!A79)</f>
        <v/>
      </c>
      <c r="B79" s="13">
        <f>IF('Product Data'!A79="","",'Product Data'!B79)</f>
        <v/>
      </c>
      <c r="C79" s="14">
        <f>IF('Product Data'!A79="","",'Product Data'!C79)</f>
        <v/>
      </c>
      <c r="D79" s="14">
        <f>IF('Product Data'!A79="","",'Product Data'!D79)</f>
        <v/>
      </c>
      <c r="E79" s="14">
        <f>IF('Product Data'!A79="","",'Product Data'!E79)</f>
        <v/>
      </c>
      <c r="F79" s="14">
        <f>IF('Product Data'!A79="","",'Product Data'!F79)</f>
        <v/>
      </c>
      <c r="G79" s="9">
        <f>IF('Product Data'!A79="","",C79*D79*E79)</f>
        <v/>
      </c>
      <c r="H79" s="13">
        <f>IF('Product Data'!A79="","",AND($C79&lt;='Box Library'!$C$4,$D79&lt;='Box Library'!$D$4,$E79&lt;='Box Library'!$E$4,$F79&lt;='Box Library'!$F$4))</f>
        <v/>
      </c>
      <c r="I79" s="13">
        <f>IF('Product Data'!A79="","",AND($C79&lt;='Box Library'!$C$5,$D79&lt;='Box Library'!$D$5,$E79&lt;='Box Library'!$E$5,$F79&lt;='Box Library'!$F$5))</f>
        <v/>
      </c>
      <c r="J79" s="13">
        <f>IF('Product Data'!A79="","",AND($C79&lt;='Box Library'!$C$6,$D79&lt;='Box Library'!$D$6,$E79&lt;='Box Library'!$E$6,$F79&lt;='Box Library'!$F$6))</f>
        <v/>
      </c>
      <c r="K79" s="13">
        <f>IF('Product Data'!A79="","",AND($C79&lt;='Box Library'!$C$7,$D79&lt;='Box Library'!$D$7,$E79&lt;='Box Library'!$E$7,$F79&lt;='Box Library'!$F$7))</f>
        <v/>
      </c>
      <c r="L79" s="13">
        <f>IF('Product Data'!A79="","",AND($C79&lt;='Box Library'!$C$8,$D79&lt;='Box Library'!$D$8,$E79&lt;='Box Library'!$E$8,$F79&lt;='Box Library'!$F$8))</f>
        <v/>
      </c>
      <c r="M79" s="13">
        <f>IF('Product Data'!A79="","",IF(H79,'Box Library'!$A$4,IF(I79,'Box Library'!$A$5,IF(J79,'Box Library'!$A$6,IF(K79,'Box Library'!$A$7,IF(L79,'Box Library'!$A$8,"NO BOX FITS"))))))</f>
        <v/>
      </c>
      <c r="N79" s="15">
        <f>IF('Product Data'!A79="","",IF(H79,'Box Library'!$G$4,IF(I79,'Box Library'!$G$5,IF(J79,'Box Library'!$G$6,IF(K79,'Box Library'!$G$7,IF(L79,'Box Library'!$G$8,0))))))</f>
        <v/>
      </c>
      <c r="O79" s="16">
        <f>IF('Product Data'!A79="","",IF(M79="NO BOX FITS",0,G79/(IF(H79,'Box Library'!$H$4,IF(I79,'Box Library'!$H$5,IF(J79,'Box Library'!$H$6,IF(K79,'Box Library'!$H$7,'Box Library'!$H$8)))))))</f>
        <v/>
      </c>
      <c r="P79" s="6">
        <f>IF('Product Data'!A79="","",IF(M79="NO BOX FITS","REVIEW - NO STANDARD BOX FITS","OK"))</f>
        <v/>
      </c>
    </row>
    <row r="80">
      <c r="A80" s="13">
        <f>IF('Product Data'!A80="","",'Product Data'!A80)</f>
        <v/>
      </c>
      <c r="B80" s="13">
        <f>IF('Product Data'!A80="","",'Product Data'!B80)</f>
        <v/>
      </c>
      <c r="C80" s="14">
        <f>IF('Product Data'!A80="","",'Product Data'!C80)</f>
        <v/>
      </c>
      <c r="D80" s="14">
        <f>IF('Product Data'!A80="","",'Product Data'!D80)</f>
        <v/>
      </c>
      <c r="E80" s="14">
        <f>IF('Product Data'!A80="","",'Product Data'!E80)</f>
        <v/>
      </c>
      <c r="F80" s="14">
        <f>IF('Product Data'!A80="","",'Product Data'!F80)</f>
        <v/>
      </c>
      <c r="G80" s="9">
        <f>IF('Product Data'!A80="","",C80*D80*E80)</f>
        <v/>
      </c>
      <c r="H80" s="13">
        <f>IF('Product Data'!A80="","",AND($C80&lt;='Box Library'!$C$4,$D80&lt;='Box Library'!$D$4,$E80&lt;='Box Library'!$E$4,$F80&lt;='Box Library'!$F$4))</f>
        <v/>
      </c>
      <c r="I80" s="13">
        <f>IF('Product Data'!A80="","",AND($C80&lt;='Box Library'!$C$5,$D80&lt;='Box Library'!$D$5,$E80&lt;='Box Library'!$E$5,$F80&lt;='Box Library'!$F$5))</f>
        <v/>
      </c>
      <c r="J80" s="13">
        <f>IF('Product Data'!A80="","",AND($C80&lt;='Box Library'!$C$6,$D80&lt;='Box Library'!$D$6,$E80&lt;='Box Library'!$E$6,$F80&lt;='Box Library'!$F$6))</f>
        <v/>
      </c>
      <c r="K80" s="13">
        <f>IF('Product Data'!A80="","",AND($C80&lt;='Box Library'!$C$7,$D80&lt;='Box Library'!$D$7,$E80&lt;='Box Library'!$E$7,$F80&lt;='Box Library'!$F$7))</f>
        <v/>
      </c>
      <c r="L80" s="13">
        <f>IF('Product Data'!A80="","",AND($C80&lt;='Box Library'!$C$8,$D80&lt;='Box Library'!$D$8,$E80&lt;='Box Library'!$E$8,$F80&lt;='Box Library'!$F$8))</f>
        <v/>
      </c>
      <c r="M80" s="13">
        <f>IF('Product Data'!A80="","",IF(H80,'Box Library'!$A$4,IF(I80,'Box Library'!$A$5,IF(J80,'Box Library'!$A$6,IF(K80,'Box Library'!$A$7,IF(L80,'Box Library'!$A$8,"NO BOX FITS"))))))</f>
        <v/>
      </c>
      <c r="N80" s="15">
        <f>IF('Product Data'!A80="","",IF(H80,'Box Library'!$G$4,IF(I80,'Box Library'!$G$5,IF(J80,'Box Library'!$G$6,IF(K80,'Box Library'!$G$7,IF(L80,'Box Library'!$G$8,0))))))</f>
        <v/>
      </c>
      <c r="O80" s="16">
        <f>IF('Product Data'!A80="","",IF(M80="NO BOX FITS",0,G80/(IF(H80,'Box Library'!$H$4,IF(I80,'Box Library'!$H$5,IF(J80,'Box Library'!$H$6,IF(K80,'Box Library'!$H$7,'Box Library'!$H$8)))))))</f>
        <v/>
      </c>
      <c r="P80" s="6">
        <f>IF('Product Data'!A80="","",IF(M80="NO BOX FITS","REVIEW - NO STANDARD BOX FITS","OK"))</f>
        <v/>
      </c>
    </row>
    <row r="81">
      <c r="A81" s="13">
        <f>IF('Product Data'!A81="","",'Product Data'!A81)</f>
        <v/>
      </c>
      <c r="B81" s="13">
        <f>IF('Product Data'!A81="","",'Product Data'!B81)</f>
        <v/>
      </c>
      <c r="C81" s="14">
        <f>IF('Product Data'!A81="","",'Product Data'!C81)</f>
        <v/>
      </c>
      <c r="D81" s="14">
        <f>IF('Product Data'!A81="","",'Product Data'!D81)</f>
        <v/>
      </c>
      <c r="E81" s="14">
        <f>IF('Product Data'!A81="","",'Product Data'!E81)</f>
        <v/>
      </c>
      <c r="F81" s="14">
        <f>IF('Product Data'!A81="","",'Product Data'!F81)</f>
        <v/>
      </c>
      <c r="G81" s="9">
        <f>IF('Product Data'!A81="","",C81*D81*E81)</f>
        <v/>
      </c>
      <c r="H81" s="13">
        <f>IF('Product Data'!A81="","",AND($C81&lt;='Box Library'!$C$4,$D81&lt;='Box Library'!$D$4,$E81&lt;='Box Library'!$E$4,$F81&lt;='Box Library'!$F$4))</f>
        <v/>
      </c>
      <c r="I81" s="13">
        <f>IF('Product Data'!A81="","",AND($C81&lt;='Box Library'!$C$5,$D81&lt;='Box Library'!$D$5,$E81&lt;='Box Library'!$E$5,$F81&lt;='Box Library'!$F$5))</f>
        <v/>
      </c>
      <c r="J81" s="13">
        <f>IF('Product Data'!A81="","",AND($C81&lt;='Box Library'!$C$6,$D81&lt;='Box Library'!$D$6,$E81&lt;='Box Library'!$E$6,$F81&lt;='Box Library'!$F$6))</f>
        <v/>
      </c>
      <c r="K81" s="13">
        <f>IF('Product Data'!A81="","",AND($C81&lt;='Box Library'!$C$7,$D81&lt;='Box Library'!$D$7,$E81&lt;='Box Library'!$E$7,$F81&lt;='Box Library'!$F$7))</f>
        <v/>
      </c>
      <c r="L81" s="13">
        <f>IF('Product Data'!A81="","",AND($C81&lt;='Box Library'!$C$8,$D81&lt;='Box Library'!$D$8,$E81&lt;='Box Library'!$E$8,$F81&lt;='Box Library'!$F$8))</f>
        <v/>
      </c>
      <c r="M81" s="13">
        <f>IF('Product Data'!A81="","",IF(H81,'Box Library'!$A$4,IF(I81,'Box Library'!$A$5,IF(J81,'Box Library'!$A$6,IF(K81,'Box Library'!$A$7,IF(L81,'Box Library'!$A$8,"NO BOX FITS"))))))</f>
        <v/>
      </c>
      <c r="N81" s="15">
        <f>IF('Product Data'!A81="","",IF(H81,'Box Library'!$G$4,IF(I81,'Box Library'!$G$5,IF(J81,'Box Library'!$G$6,IF(K81,'Box Library'!$G$7,IF(L81,'Box Library'!$G$8,0))))))</f>
        <v/>
      </c>
      <c r="O81" s="16">
        <f>IF('Product Data'!A81="","",IF(M81="NO BOX FITS",0,G81/(IF(H81,'Box Library'!$H$4,IF(I81,'Box Library'!$H$5,IF(J81,'Box Library'!$H$6,IF(K81,'Box Library'!$H$7,'Box Library'!$H$8)))))))</f>
        <v/>
      </c>
      <c r="P81" s="6">
        <f>IF('Product Data'!A81="","",IF(M81="NO BOX FITS","REVIEW - NO STANDARD BOX FITS","OK"))</f>
        <v/>
      </c>
    </row>
    <row r="82">
      <c r="A82" s="13">
        <f>IF('Product Data'!A82="","",'Product Data'!A82)</f>
        <v/>
      </c>
      <c r="B82" s="13">
        <f>IF('Product Data'!A82="","",'Product Data'!B82)</f>
        <v/>
      </c>
      <c r="C82" s="14">
        <f>IF('Product Data'!A82="","",'Product Data'!C82)</f>
        <v/>
      </c>
      <c r="D82" s="14">
        <f>IF('Product Data'!A82="","",'Product Data'!D82)</f>
        <v/>
      </c>
      <c r="E82" s="14">
        <f>IF('Product Data'!A82="","",'Product Data'!E82)</f>
        <v/>
      </c>
      <c r="F82" s="14">
        <f>IF('Product Data'!A82="","",'Product Data'!F82)</f>
        <v/>
      </c>
      <c r="G82" s="9">
        <f>IF('Product Data'!A82="","",C82*D82*E82)</f>
        <v/>
      </c>
      <c r="H82" s="13">
        <f>IF('Product Data'!A82="","",AND($C82&lt;='Box Library'!$C$4,$D82&lt;='Box Library'!$D$4,$E82&lt;='Box Library'!$E$4,$F82&lt;='Box Library'!$F$4))</f>
        <v/>
      </c>
      <c r="I82" s="13">
        <f>IF('Product Data'!A82="","",AND($C82&lt;='Box Library'!$C$5,$D82&lt;='Box Library'!$D$5,$E82&lt;='Box Library'!$E$5,$F82&lt;='Box Library'!$F$5))</f>
        <v/>
      </c>
      <c r="J82" s="13">
        <f>IF('Product Data'!A82="","",AND($C82&lt;='Box Library'!$C$6,$D82&lt;='Box Library'!$D$6,$E82&lt;='Box Library'!$E$6,$F82&lt;='Box Library'!$F$6))</f>
        <v/>
      </c>
      <c r="K82" s="13">
        <f>IF('Product Data'!A82="","",AND($C82&lt;='Box Library'!$C$7,$D82&lt;='Box Library'!$D$7,$E82&lt;='Box Library'!$E$7,$F82&lt;='Box Library'!$F$7))</f>
        <v/>
      </c>
      <c r="L82" s="13">
        <f>IF('Product Data'!A82="","",AND($C82&lt;='Box Library'!$C$8,$D82&lt;='Box Library'!$D$8,$E82&lt;='Box Library'!$E$8,$F82&lt;='Box Library'!$F$8))</f>
        <v/>
      </c>
      <c r="M82" s="13">
        <f>IF('Product Data'!A82="","",IF(H82,'Box Library'!$A$4,IF(I82,'Box Library'!$A$5,IF(J82,'Box Library'!$A$6,IF(K82,'Box Library'!$A$7,IF(L82,'Box Library'!$A$8,"NO BOX FITS"))))))</f>
        <v/>
      </c>
      <c r="N82" s="15">
        <f>IF('Product Data'!A82="","",IF(H82,'Box Library'!$G$4,IF(I82,'Box Library'!$G$5,IF(J82,'Box Library'!$G$6,IF(K82,'Box Library'!$G$7,IF(L82,'Box Library'!$G$8,0))))))</f>
        <v/>
      </c>
      <c r="O82" s="16">
        <f>IF('Product Data'!A82="","",IF(M82="NO BOX FITS",0,G82/(IF(H82,'Box Library'!$H$4,IF(I82,'Box Library'!$H$5,IF(J82,'Box Library'!$H$6,IF(K82,'Box Library'!$H$7,'Box Library'!$H$8)))))))</f>
        <v/>
      </c>
      <c r="P82" s="6">
        <f>IF('Product Data'!A82="","",IF(M82="NO BOX FITS","REVIEW - NO STANDARD BOX FITS","OK"))</f>
        <v/>
      </c>
    </row>
    <row r="83">
      <c r="A83" s="13">
        <f>IF('Product Data'!A83="","",'Product Data'!A83)</f>
        <v/>
      </c>
      <c r="B83" s="13">
        <f>IF('Product Data'!A83="","",'Product Data'!B83)</f>
        <v/>
      </c>
      <c r="C83" s="14">
        <f>IF('Product Data'!A83="","",'Product Data'!C83)</f>
        <v/>
      </c>
      <c r="D83" s="14">
        <f>IF('Product Data'!A83="","",'Product Data'!D83)</f>
        <v/>
      </c>
      <c r="E83" s="14">
        <f>IF('Product Data'!A83="","",'Product Data'!E83)</f>
        <v/>
      </c>
      <c r="F83" s="14">
        <f>IF('Product Data'!A83="","",'Product Data'!F83)</f>
        <v/>
      </c>
      <c r="G83" s="9">
        <f>IF('Product Data'!A83="","",C83*D83*E83)</f>
        <v/>
      </c>
      <c r="H83" s="13">
        <f>IF('Product Data'!A83="","",AND($C83&lt;='Box Library'!$C$4,$D83&lt;='Box Library'!$D$4,$E83&lt;='Box Library'!$E$4,$F83&lt;='Box Library'!$F$4))</f>
        <v/>
      </c>
      <c r="I83" s="13">
        <f>IF('Product Data'!A83="","",AND($C83&lt;='Box Library'!$C$5,$D83&lt;='Box Library'!$D$5,$E83&lt;='Box Library'!$E$5,$F83&lt;='Box Library'!$F$5))</f>
        <v/>
      </c>
      <c r="J83" s="13">
        <f>IF('Product Data'!A83="","",AND($C83&lt;='Box Library'!$C$6,$D83&lt;='Box Library'!$D$6,$E83&lt;='Box Library'!$E$6,$F83&lt;='Box Library'!$F$6))</f>
        <v/>
      </c>
      <c r="K83" s="13">
        <f>IF('Product Data'!A83="","",AND($C83&lt;='Box Library'!$C$7,$D83&lt;='Box Library'!$D$7,$E83&lt;='Box Library'!$E$7,$F83&lt;='Box Library'!$F$7))</f>
        <v/>
      </c>
      <c r="L83" s="13">
        <f>IF('Product Data'!A83="","",AND($C83&lt;='Box Library'!$C$8,$D83&lt;='Box Library'!$D$8,$E83&lt;='Box Library'!$E$8,$F83&lt;='Box Library'!$F$8))</f>
        <v/>
      </c>
      <c r="M83" s="13">
        <f>IF('Product Data'!A83="","",IF(H83,'Box Library'!$A$4,IF(I83,'Box Library'!$A$5,IF(J83,'Box Library'!$A$6,IF(K83,'Box Library'!$A$7,IF(L83,'Box Library'!$A$8,"NO BOX FITS"))))))</f>
        <v/>
      </c>
      <c r="N83" s="15">
        <f>IF('Product Data'!A83="","",IF(H83,'Box Library'!$G$4,IF(I83,'Box Library'!$G$5,IF(J83,'Box Library'!$G$6,IF(K83,'Box Library'!$G$7,IF(L83,'Box Library'!$G$8,0))))))</f>
        <v/>
      </c>
      <c r="O83" s="16">
        <f>IF('Product Data'!A83="","",IF(M83="NO BOX FITS",0,G83/(IF(H83,'Box Library'!$H$4,IF(I83,'Box Library'!$H$5,IF(J83,'Box Library'!$H$6,IF(K83,'Box Library'!$H$7,'Box Library'!$H$8)))))))</f>
        <v/>
      </c>
      <c r="P83" s="6">
        <f>IF('Product Data'!A83="","",IF(M83="NO BOX FITS","REVIEW - NO STANDARD BOX FITS","OK"))</f>
        <v/>
      </c>
    </row>
    <row r="84">
      <c r="A84" s="13">
        <f>IF('Product Data'!A84="","",'Product Data'!A84)</f>
        <v/>
      </c>
      <c r="B84" s="13">
        <f>IF('Product Data'!A84="","",'Product Data'!B84)</f>
        <v/>
      </c>
      <c r="C84" s="14">
        <f>IF('Product Data'!A84="","",'Product Data'!C84)</f>
        <v/>
      </c>
      <c r="D84" s="14">
        <f>IF('Product Data'!A84="","",'Product Data'!D84)</f>
        <v/>
      </c>
      <c r="E84" s="14">
        <f>IF('Product Data'!A84="","",'Product Data'!E84)</f>
        <v/>
      </c>
      <c r="F84" s="14">
        <f>IF('Product Data'!A84="","",'Product Data'!F84)</f>
        <v/>
      </c>
      <c r="G84" s="9">
        <f>IF('Product Data'!A84="","",C84*D84*E84)</f>
        <v/>
      </c>
      <c r="H84" s="13">
        <f>IF('Product Data'!A84="","",AND($C84&lt;='Box Library'!$C$4,$D84&lt;='Box Library'!$D$4,$E84&lt;='Box Library'!$E$4,$F84&lt;='Box Library'!$F$4))</f>
        <v/>
      </c>
      <c r="I84" s="13">
        <f>IF('Product Data'!A84="","",AND($C84&lt;='Box Library'!$C$5,$D84&lt;='Box Library'!$D$5,$E84&lt;='Box Library'!$E$5,$F84&lt;='Box Library'!$F$5))</f>
        <v/>
      </c>
      <c r="J84" s="13">
        <f>IF('Product Data'!A84="","",AND($C84&lt;='Box Library'!$C$6,$D84&lt;='Box Library'!$D$6,$E84&lt;='Box Library'!$E$6,$F84&lt;='Box Library'!$F$6))</f>
        <v/>
      </c>
      <c r="K84" s="13">
        <f>IF('Product Data'!A84="","",AND($C84&lt;='Box Library'!$C$7,$D84&lt;='Box Library'!$D$7,$E84&lt;='Box Library'!$E$7,$F84&lt;='Box Library'!$F$7))</f>
        <v/>
      </c>
      <c r="L84" s="13">
        <f>IF('Product Data'!A84="","",AND($C84&lt;='Box Library'!$C$8,$D84&lt;='Box Library'!$D$8,$E84&lt;='Box Library'!$E$8,$F84&lt;='Box Library'!$F$8))</f>
        <v/>
      </c>
      <c r="M84" s="13">
        <f>IF('Product Data'!A84="","",IF(H84,'Box Library'!$A$4,IF(I84,'Box Library'!$A$5,IF(J84,'Box Library'!$A$6,IF(K84,'Box Library'!$A$7,IF(L84,'Box Library'!$A$8,"NO BOX FITS"))))))</f>
        <v/>
      </c>
      <c r="N84" s="15">
        <f>IF('Product Data'!A84="","",IF(H84,'Box Library'!$G$4,IF(I84,'Box Library'!$G$5,IF(J84,'Box Library'!$G$6,IF(K84,'Box Library'!$G$7,IF(L84,'Box Library'!$G$8,0))))))</f>
        <v/>
      </c>
      <c r="O84" s="16">
        <f>IF('Product Data'!A84="","",IF(M84="NO BOX FITS",0,G84/(IF(H84,'Box Library'!$H$4,IF(I84,'Box Library'!$H$5,IF(J84,'Box Library'!$H$6,IF(K84,'Box Library'!$H$7,'Box Library'!$H$8)))))))</f>
        <v/>
      </c>
      <c r="P84" s="6">
        <f>IF('Product Data'!A84="","",IF(M84="NO BOX FITS","REVIEW - NO STANDARD BOX FITS","OK"))</f>
        <v/>
      </c>
    </row>
    <row r="85">
      <c r="A85" s="13">
        <f>IF('Product Data'!A85="","",'Product Data'!A85)</f>
        <v/>
      </c>
      <c r="B85" s="13">
        <f>IF('Product Data'!A85="","",'Product Data'!B85)</f>
        <v/>
      </c>
      <c r="C85" s="14">
        <f>IF('Product Data'!A85="","",'Product Data'!C85)</f>
        <v/>
      </c>
      <c r="D85" s="14">
        <f>IF('Product Data'!A85="","",'Product Data'!D85)</f>
        <v/>
      </c>
      <c r="E85" s="14">
        <f>IF('Product Data'!A85="","",'Product Data'!E85)</f>
        <v/>
      </c>
      <c r="F85" s="14">
        <f>IF('Product Data'!A85="","",'Product Data'!F85)</f>
        <v/>
      </c>
      <c r="G85" s="9">
        <f>IF('Product Data'!A85="","",C85*D85*E85)</f>
        <v/>
      </c>
      <c r="H85" s="13">
        <f>IF('Product Data'!A85="","",AND($C85&lt;='Box Library'!$C$4,$D85&lt;='Box Library'!$D$4,$E85&lt;='Box Library'!$E$4,$F85&lt;='Box Library'!$F$4))</f>
        <v/>
      </c>
      <c r="I85" s="13">
        <f>IF('Product Data'!A85="","",AND($C85&lt;='Box Library'!$C$5,$D85&lt;='Box Library'!$D$5,$E85&lt;='Box Library'!$E$5,$F85&lt;='Box Library'!$F$5))</f>
        <v/>
      </c>
      <c r="J85" s="13">
        <f>IF('Product Data'!A85="","",AND($C85&lt;='Box Library'!$C$6,$D85&lt;='Box Library'!$D$6,$E85&lt;='Box Library'!$E$6,$F85&lt;='Box Library'!$F$6))</f>
        <v/>
      </c>
      <c r="K85" s="13">
        <f>IF('Product Data'!A85="","",AND($C85&lt;='Box Library'!$C$7,$D85&lt;='Box Library'!$D$7,$E85&lt;='Box Library'!$E$7,$F85&lt;='Box Library'!$F$7))</f>
        <v/>
      </c>
      <c r="L85" s="13">
        <f>IF('Product Data'!A85="","",AND($C85&lt;='Box Library'!$C$8,$D85&lt;='Box Library'!$D$8,$E85&lt;='Box Library'!$E$8,$F85&lt;='Box Library'!$F$8))</f>
        <v/>
      </c>
      <c r="M85" s="13">
        <f>IF('Product Data'!A85="","",IF(H85,'Box Library'!$A$4,IF(I85,'Box Library'!$A$5,IF(J85,'Box Library'!$A$6,IF(K85,'Box Library'!$A$7,IF(L85,'Box Library'!$A$8,"NO BOX FITS"))))))</f>
        <v/>
      </c>
      <c r="N85" s="15">
        <f>IF('Product Data'!A85="","",IF(H85,'Box Library'!$G$4,IF(I85,'Box Library'!$G$5,IF(J85,'Box Library'!$G$6,IF(K85,'Box Library'!$G$7,IF(L85,'Box Library'!$G$8,0))))))</f>
        <v/>
      </c>
      <c r="O85" s="16">
        <f>IF('Product Data'!A85="","",IF(M85="NO BOX FITS",0,G85/(IF(H85,'Box Library'!$H$4,IF(I85,'Box Library'!$H$5,IF(J85,'Box Library'!$H$6,IF(K85,'Box Library'!$H$7,'Box Library'!$H$8)))))))</f>
        <v/>
      </c>
      <c r="P85" s="6">
        <f>IF('Product Data'!A85="","",IF(M85="NO BOX FITS","REVIEW - NO STANDARD BOX FITS","OK"))</f>
        <v/>
      </c>
    </row>
    <row r="86">
      <c r="A86" s="13">
        <f>IF('Product Data'!A86="","",'Product Data'!A86)</f>
        <v/>
      </c>
      <c r="B86" s="13">
        <f>IF('Product Data'!A86="","",'Product Data'!B86)</f>
        <v/>
      </c>
      <c r="C86" s="14">
        <f>IF('Product Data'!A86="","",'Product Data'!C86)</f>
        <v/>
      </c>
      <c r="D86" s="14">
        <f>IF('Product Data'!A86="","",'Product Data'!D86)</f>
        <v/>
      </c>
      <c r="E86" s="14">
        <f>IF('Product Data'!A86="","",'Product Data'!E86)</f>
        <v/>
      </c>
      <c r="F86" s="14">
        <f>IF('Product Data'!A86="","",'Product Data'!F86)</f>
        <v/>
      </c>
      <c r="G86" s="9">
        <f>IF('Product Data'!A86="","",C86*D86*E86)</f>
        <v/>
      </c>
      <c r="H86" s="13">
        <f>IF('Product Data'!A86="","",AND($C86&lt;='Box Library'!$C$4,$D86&lt;='Box Library'!$D$4,$E86&lt;='Box Library'!$E$4,$F86&lt;='Box Library'!$F$4))</f>
        <v/>
      </c>
      <c r="I86" s="13">
        <f>IF('Product Data'!A86="","",AND($C86&lt;='Box Library'!$C$5,$D86&lt;='Box Library'!$D$5,$E86&lt;='Box Library'!$E$5,$F86&lt;='Box Library'!$F$5))</f>
        <v/>
      </c>
      <c r="J86" s="13">
        <f>IF('Product Data'!A86="","",AND($C86&lt;='Box Library'!$C$6,$D86&lt;='Box Library'!$D$6,$E86&lt;='Box Library'!$E$6,$F86&lt;='Box Library'!$F$6))</f>
        <v/>
      </c>
      <c r="K86" s="13">
        <f>IF('Product Data'!A86="","",AND($C86&lt;='Box Library'!$C$7,$D86&lt;='Box Library'!$D$7,$E86&lt;='Box Library'!$E$7,$F86&lt;='Box Library'!$F$7))</f>
        <v/>
      </c>
      <c r="L86" s="13">
        <f>IF('Product Data'!A86="","",AND($C86&lt;='Box Library'!$C$8,$D86&lt;='Box Library'!$D$8,$E86&lt;='Box Library'!$E$8,$F86&lt;='Box Library'!$F$8))</f>
        <v/>
      </c>
      <c r="M86" s="13">
        <f>IF('Product Data'!A86="","",IF(H86,'Box Library'!$A$4,IF(I86,'Box Library'!$A$5,IF(J86,'Box Library'!$A$6,IF(K86,'Box Library'!$A$7,IF(L86,'Box Library'!$A$8,"NO BOX FITS"))))))</f>
        <v/>
      </c>
      <c r="N86" s="15">
        <f>IF('Product Data'!A86="","",IF(H86,'Box Library'!$G$4,IF(I86,'Box Library'!$G$5,IF(J86,'Box Library'!$G$6,IF(K86,'Box Library'!$G$7,IF(L86,'Box Library'!$G$8,0))))))</f>
        <v/>
      </c>
      <c r="O86" s="16">
        <f>IF('Product Data'!A86="","",IF(M86="NO BOX FITS",0,G86/(IF(H86,'Box Library'!$H$4,IF(I86,'Box Library'!$H$5,IF(J86,'Box Library'!$H$6,IF(K86,'Box Library'!$H$7,'Box Library'!$H$8)))))))</f>
        <v/>
      </c>
      <c r="P86" s="6">
        <f>IF('Product Data'!A86="","",IF(M86="NO BOX FITS","REVIEW - NO STANDARD BOX FITS","OK"))</f>
        <v/>
      </c>
    </row>
    <row r="87">
      <c r="A87" s="13">
        <f>IF('Product Data'!A87="","",'Product Data'!A87)</f>
        <v/>
      </c>
      <c r="B87" s="13">
        <f>IF('Product Data'!A87="","",'Product Data'!B87)</f>
        <v/>
      </c>
      <c r="C87" s="14">
        <f>IF('Product Data'!A87="","",'Product Data'!C87)</f>
        <v/>
      </c>
      <c r="D87" s="14">
        <f>IF('Product Data'!A87="","",'Product Data'!D87)</f>
        <v/>
      </c>
      <c r="E87" s="14">
        <f>IF('Product Data'!A87="","",'Product Data'!E87)</f>
        <v/>
      </c>
      <c r="F87" s="14">
        <f>IF('Product Data'!A87="","",'Product Data'!F87)</f>
        <v/>
      </c>
      <c r="G87" s="9">
        <f>IF('Product Data'!A87="","",C87*D87*E87)</f>
        <v/>
      </c>
      <c r="H87" s="13">
        <f>IF('Product Data'!A87="","",AND($C87&lt;='Box Library'!$C$4,$D87&lt;='Box Library'!$D$4,$E87&lt;='Box Library'!$E$4,$F87&lt;='Box Library'!$F$4))</f>
        <v/>
      </c>
      <c r="I87" s="13">
        <f>IF('Product Data'!A87="","",AND($C87&lt;='Box Library'!$C$5,$D87&lt;='Box Library'!$D$5,$E87&lt;='Box Library'!$E$5,$F87&lt;='Box Library'!$F$5))</f>
        <v/>
      </c>
      <c r="J87" s="13">
        <f>IF('Product Data'!A87="","",AND($C87&lt;='Box Library'!$C$6,$D87&lt;='Box Library'!$D$6,$E87&lt;='Box Library'!$E$6,$F87&lt;='Box Library'!$F$6))</f>
        <v/>
      </c>
      <c r="K87" s="13">
        <f>IF('Product Data'!A87="","",AND($C87&lt;='Box Library'!$C$7,$D87&lt;='Box Library'!$D$7,$E87&lt;='Box Library'!$E$7,$F87&lt;='Box Library'!$F$7))</f>
        <v/>
      </c>
      <c r="L87" s="13">
        <f>IF('Product Data'!A87="","",AND($C87&lt;='Box Library'!$C$8,$D87&lt;='Box Library'!$D$8,$E87&lt;='Box Library'!$E$8,$F87&lt;='Box Library'!$F$8))</f>
        <v/>
      </c>
      <c r="M87" s="13">
        <f>IF('Product Data'!A87="","",IF(H87,'Box Library'!$A$4,IF(I87,'Box Library'!$A$5,IF(J87,'Box Library'!$A$6,IF(K87,'Box Library'!$A$7,IF(L87,'Box Library'!$A$8,"NO BOX FITS"))))))</f>
        <v/>
      </c>
      <c r="N87" s="15">
        <f>IF('Product Data'!A87="","",IF(H87,'Box Library'!$G$4,IF(I87,'Box Library'!$G$5,IF(J87,'Box Library'!$G$6,IF(K87,'Box Library'!$G$7,IF(L87,'Box Library'!$G$8,0))))))</f>
        <v/>
      </c>
      <c r="O87" s="16">
        <f>IF('Product Data'!A87="","",IF(M87="NO BOX FITS",0,G87/(IF(H87,'Box Library'!$H$4,IF(I87,'Box Library'!$H$5,IF(J87,'Box Library'!$H$6,IF(K87,'Box Library'!$H$7,'Box Library'!$H$8)))))))</f>
        <v/>
      </c>
      <c r="P87" s="6">
        <f>IF('Product Data'!A87="","",IF(M87="NO BOX FITS","REVIEW - NO STANDARD BOX FITS","OK"))</f>
        <v/>
      </c>
    </row>
    <row r="88">
      <c r="A88" s="13">
        <f>IF('Product Data'!A88="","",'Product Data'!A88)</f>
        <v/>
      </c>
      <c r="B88" s="13">
        <f>IF('Product Data'!A88="","",'Product Data'!B88)</f>
        <v/>
      </c>
      <c r="C88" s="14">
        <f>IF('Product Data'!A88="","",'Product Data'!C88)</f>
        <v/>
      </c>
      <c r="D88" s="14">
        <f>IF('Product Data'!A88="","",'Product Data'!D88)</f>
        <v/>
      </c>
      <c r="E88" s="14">
        <f>IF('Product Data'!A88="","",'Product Data'!E88)</f>
        <v/>
      </c>
      <c r="F88" s="14">
        <f>IF('Product Data'!A88="","",'Product Data'!F88)</f>
        <v/>
      </c>
      <c r="G88" s="9">
        <f>IF('Product Data'!A88="","",C88*D88*E88)</f>
        <v/>
      </c>
      <c r="H88" s="13">
        <f>IF('Product Data'!A88="","",AND($C88&lt;='Box Library'!$C$4,$D88&lt;='Box Library'!$D$4,$E88&lt;='Box Library'!$E$4,$F88&lt;='Box Library'!$F$4))</f>
        <v/>
      </c>
      <c r="I88" s="13">
        <f>IF('Product Data'!A88="","",AND($C88&lt;='Box Library'!$C$5,$D88&lt;='Box Library'!$D$5,$E88&lt;='Box Library'!$E$5,$F88&lt;='Box Library'!$F$5))</f>
        <v/>
      </c>
      <c r="J88" s="13">
        <f>IF('Product Data'!A88="","",AND($C88&lt;='Box Library'!$C$6,$D88&lt;='Box Library'!$D$6,$E88&lt;='Box Library'!$E$6,$F88&lt;='Box Library'!$F$6))</f>
        <v/>
      </c>
      <c r="K88" s="13">
        <f>IF('Product Data'!A88="","",AND($C88&lt;='Box Library'!$C$7,$D88&lt;='Box Library'!$D$7,$E88&lt;='Box Library'!$E$7,$F88&lt;='Box Library'!$F$7))</f>
        <v/>
      </c>
      <c r="L88" s="13">
        <f>IF('Product Data'!A88="","",AND($C88&lt;='Box Library'!$C$8,$D88&lt;='Box Library'!$D$8,$E88&lt;='Box Library'!$E$8,$F88&lt;='Box Library'!$F$8))</f>
        <v/>
      </c>
      <c r="M88" s="13">
        <f>IF('Product Data'!A88="","",IF(H88,'Box Library'!$A$4,IF(I88,'Box Library'!$A$5,IF(J88,'Box Library'!$A$6,IF(K88,'Box Library'!$A$7,IF(L88,'Box Library'!$A$8,"NO BOX FITS"))))))</f>
        <v/>
      </c>
      <c r="N88" s="15">
        <f>IF('Product Data'!A88="","",IF(H88,'Box Library'!$G$4,IF(I88,'Box Library'!$G$5,IF(J88,'Box Library'!$G$6,IF(K88,'Box Library'!$G$7,IF(L88,'Box Library'!$G$8,0))))))</f>
        <v/>
      </c>
      <c r="O88" s="16">
        <f>IF('Product Data'!A88="","",IF(M88="NO BOX FITS",0,G88/(IF(H88,'Box Library'!$H$4,IF(I88,'Box Library'!$H$5,IF(J88,'Box Library'!$H$6,IF(K88,'Box Library'!$H$7,'Box Library'!$H$8)))))))</f>
        <v/>
      </c>
      <c r="P88" s="6">
        <f>IF('Product Data'!A88="","",IF(M88="NO BOX FITS","REVIEW - NO STANDARD BOX FITS","OK"))</f>
        <v/>
      </c>
    </row>
    <row r="89">
      <c r="A89" s="13">
        <f>IF('Product Data'!A89="","",'Product Data'!A89)</f>
        <v/>
      </c>
      <c r="B89" s="13">
        <f>IF('Product Data'!A89="","",'Product Data'!B89)</f>
        <v/>
      </c>
      <c r="C89" s="14">
        <f>IF('Product Data'!A89="","",'Product Data'!C89)</f>
        <v/>
      </c>
      <c r="D89" s="14">
        <f>IF('Product Data'!A89="","",'Product Data'!D89)</f>
        <v/>
      </c>
      <c r="E89" s="14">
        <f>IF('Product Data'!A89="","",'Product Data'!E89)</f>
        <v/>
      </c>
      <c r="F89" s="14">
        <f>IF('Product Data'!A89="","",'Product Data'!F89)</f>
        <v/>
      </c>
      <c r="G89" s="9">
        <f>IF('Product Data'!A89="","",C89*D89*E89)</f>
        <v/>
      </c>
      <c r="H89" s="13">
        <f>IF('Product Data'!A89="","",AND($C89&lt;='Box Library'!$C$4,$D89&lt;='Box Library'!$D$4,$E89&lt;='Box Library'!$E$4,$F89&lt;='Box Library'!$F$4))</f>
        <v/>
      </c>
      <c r="I89" s="13">
        <f>IF('Product Data'!A89="","",AND($C89&lt;='Box Library'!$C$5,$D89&lt;='Box Library'!$D$5,$E89&lt;='Box Library'!$E$5,$F89&lt;='Box Library'!$F$5))</f>
        <v/>
      </c>
      <c r="J89" s="13">
        <f>IF('Product Data'!A89="","",AND($C89&lt;='Box Library'!$C$6,$D89&lt;='Box Library'!$D$6,$E89&lt;='Box Library'!$E$6,$F89&lt;='Box Library'!$F$6))</f>
        <v/>
      </c>
      <c r="K89" s="13">
        <f>IF('Product Data'!A89="","",AND($C89&lt;='Box Library'!$C$7,$D89&lt;='Box Library'!$D$7,$E89&lt;='Box Library'!$E$7,$F89&lt;='Box Library'!$F$7))</f>
        <v/>
      </c>
      <c r="L89" s="13">
        <f>IF('Product Data'!A89="","",AND($C89&lt;='Box Library'!$C$8,$D89&lt;='Box Library'!$D$8,$E89&lt;='Box Library'!$E$8,$F89&lt;='Box Library'!$F$8))</f>
        <v/>
      </c>
      <c r="M89" s="13">
        <f>IF('Product Data'!A89="","",IF(H89,'Box Library'!$A$4,IF(I89,'Box Library'!$A$5,IF(J89,'Box Library'!$A$6,IF(K89,'Box Library'!$A$7,IF(L89,'Box Library'!$A$8,"NO BOX FITS"))))))</f>
        <v/>
      </c>
      <c r="N89" s="15">
        <f>IF('Product Data'!A89="","",IF(H89,'Box Library'!$G$4,IF(I89,'Box Library'!$G$5,IF(J89,'Box Library'!$G$6,IF(K89,'Box Library'!$G$7,IF(L89,'Box Library'!$G$8,0))))))</f>
        <v/>
      </c>
      <c r="O89" s="16">
        <f>IF('Product Data'!A89="","",IF(M89="NO BOX FITS",0,G89/(IF(H89,'Box Library'!$H$4,IF(I89,'Box Library'!$H$5,IF(J89,'Box Library'!$H$6,IF(K89,'Box Library'!$H$7,'Box Library'!$H$8)))))))</f>
        <v/>
      </c>
      <c r="P89" s="6">
        <f>IF('Product Data'!A89="","",IF(M89="NO BOX FITS","REVIEW - NO STANDARD BOX FITS","OK"))</f>
        <v/>
      </c>
    </row>
    <row r="90">
      <c r="A90" s="13">
        <f>IF('Product Data'!A90="","",'Product Data'!A90)</f>
        <v/>
      </c>
      <c r="B90" s="13">
        <f>IF('Product Data'!A90="","",'Product Data'!B90)</f>
        <v/>
      </c>
      <c r="C90" s="14">
        <f>IF('Product Data'!A90="","",'Product Data'!C90)</f>
        <v/>
      </c>
      <c r="D90" s="14">
        <f>IF('Product Data'!A90="","",'Product Data'!D90)</f>
        <v/>
      </c>
      <c r="E90" s="14">
        <f>IF('Product Data'!A90="","",'Product Data'!E90)</f>
        <v/>
      </c>
      <c r="F90" s="14">
        <f>IF('Product Data'!A90="","",'Product Data'!F90)</f>
        <v/>
      </c>
      <c r="G90" s="9">
        <f>IF('Product Data'!A90="","",C90*D90*E90)</f>
        <v/>
      </c>
      <c r="H90" s="13">
        <f>IF('Product Data'!A90="","",AND($C90&lt;='Box Library'!$C$4,$D90&lt;='Box Library'!$D$4,$E90&lt;='Box Library'!$E$4,$F90&lt;='Box Library'!$F$4))</f>
        <v/>
      </c>
      <c r="I90" s="13">
        <f>IF('Product Data'!A90="","",AND($C90&lt;='Box Library'!$C$5,$D90&lt;='Box Library'!$D$5,$E90&lt;='Box Library'!$E$5,$F90&lt;='Box Library'!$F$5))</f>
        <v/>
      </c>
      <c r="J90" s="13">
        <f>IF('Product Data'!A90="","",AND($C90&lt;='Box Library'!$C$6,$D90&lt;='Box Library'!$D$6,$E90&lt;='Box Library'!$E$6,$F90&lt;='Box Library'!$F$6))</f>
        <v/>
      </c>
      <c r="K90" s="13">
        <f>IF('Product Data'!A90="","",AND($C90&lt;='Box Library'!$C$7,$D90&lt;='Box Library'!$D$7,$E90&lt;='Box Library'!$E$7,$F90&lt;='Box Library'!$F$7))</f>
        <v/>
      </c>
      <c r="L90" s="13">
        <f>IF('Product Data'!A90="","",AND($C90&lt;='Box Library'!$C$8,$D90&lt;='Box Library'!$D$8,$E90&lt;='Box Library'!$E$8,$F90&lt;='Box Library'!$F$8))</f>
        <v/>
      </c>
      <c r="M90" s="13">
        <f>IF('Product Data'!A90="","",IF(H90,'Box Library'!$A$4,IF(I90,'Box Library'!$A$5,IF(J90,'Box Library'!$A$6,IF(K90,'Box Library'!$A$7,IF(L90,'Box Library'!$A$8,"NO BOX FITS"))))))</f>
        <v/>
      </c>
      <c r="N90" s="15">
        <f>IF('Product Data'!A90="","",IF(H90,'Box Library'!$G$4,IF(I90,'Box Library'!$G$5,IF(J90,'Box Library'!$G$6,IF(K90,'Box Library'!$G$7,IF(L90,'Box Library'!$G$8,0))))))</f>
        <v/>
      </c>
      <c r="O90" s="16">
        <f>IF('Product Data'!A90="","",IF(M90="NO BOX FITS",0,G90/(IF(H90,'Box Library'!$H$4,IF(I90,'Box Library'!$H$5,IF(J90,'Box Library'!$H$6,IF(K90,'Box Library'!$H$7,'Box Library'!$H$8)))))))</f>
        <v/>
      </c>
      <c r="P90" s="6">
        <f>IF('Product Data'!A90="","",IF(M90="NO BOX FITS","REVIEW - NO STANDARD BOX FITS","OK"))</f>
        <v/>
      </c>
    </row>
    <row r="91">
      <c r="A91" s="13">
        <f>IF('Product Data'!A91="","",'Product Data'!A91)</f>
        <v/>
      </c>
      <c r="B91" s="13">
        <f>IF('Product Data'!A91="","",'Product Data'!B91)</f>
        <v/>
      </c>
      <c r="C91" s="14">
        <f>IF('Product Data'!A91="","",'Product Data'!C91)</f>
        <v/>
      </c>
      <c r="D91" s="14">
        <f>IF('Product Data'!A91="","",'Product Data'!D91)</f>
        <v/>
      </c>
      <c r="E91" s="14">
        <f>IF('Product Data'!A91="","",'Product Data'!E91)</f>
        <v/>
      </c>
      <c r="F91" s="14">
        <f>IF('Product Data'!A91="","",'Product Data'!F91)</f>
        <v/>
      </c>
      <c r="G91" s="9">
        <f>IF('Product Data'!A91="","",C91*D91*E91)</f>
        <v/>
      </c>
      <c r="H91" s="13">
        <f>IF('Product Data'!A91="","",AND($C91&lt;='Box Library'!$C$4,$D91&lt;='Box Library'!$D$4,$E91&lt;='Box Library'!$E$4,$F91&lt;='Box Library'!$F$4))</f>
        <v/>
      </c>
      <c r="I91" s="13">
        <f>IF('Product Data'!A91="","",AND($C91&lt;='Box Library'!$C$5,$D91&lt;='Box Library'!$D$5,$E91&lt;='Box Library'!$E$5,$F91&lt;='Box Library'!$F$5))</f>
        <v/>
      </c>
      <c r="J91" s="13">
        <f>IF('Product Data'!A91="","",AND($C91&lt;='Box Library'!$C$6,$D91&lt;='Box Library'!$D$6,$E91&lt;='Box Library'!$E$6,$F91&lt;='Box Library'!$F$6))</f>
        <v/>
      </c>
      <c r="K91" s="13">
        <f>IF('Product Data'!A91="","",AND($C91&lt;='Box Library'!$C$7,$D91&lt;='Box Library'!$D$7,$E91&lt;='Box Library'!$E$7,$F91&lt;='Box Library'!$F$7))</f>
        <v/>
      </c>
      <c r="L91" s="13">
        <f>IF('Product Data'!A91="","",AND($C91&lt;='Box Library'!$C$8,$D91&lt;='Box Library'!$D$8,$E91&lt;='Box Library'!$E$8,$F91&lt;='Box Library'!$F$8))</f>
        <v/>
      </c>
      <c r="M91" s="13">
        <f>IF('Product Data'!A91="","",IF(H91,'Box Library'!$A$4,IF(I91,'Box Library'!$A$5,IF(J91,'Box Library'!$A$6,IF(K91,'Box Library'!$A$7,IF(L91,'Box Library'!$A$8,"NO BOX FITS"))))))</f>
        <v/>
      </c>
      <c r="N91" s="15">
        <f>IF('Product Data'!A91="","",IF(H91,'Box Library'!$G$4,IF(I91,'Box Library'!$G$5,IF(J91,'Box Library'!$G$6,IF(K91,'Box Library'!$G$7,IF(L91,'Box Library'!$G$8,0))))))</f>
        <v/>
      </c>
      <c r="O91" s="16">
        <f>IF('Product Data'!A91="","",IF(M91="NO BOX FITS",0,G91/(IF(H91,'Box Library'!$H$4,IF(I91,'Box Library'!$H$5,IF(J91,'Box Library'!$H$6,IF(K91,'Box Library'!$H$7,'Box Library'!$H$8)))))))</f>
        <v/>
      </c>
      <c r="P91" s="6">
        <f>IF('Product Data'!A91="","",IF(M91="NO BOX FITS","REVIEW - NO STANDARD BOX FITS","OK"))</f>
        <v/>
      </c>
    </row>
    <row r="92">
      <c r="A92" s="13">
        <f>IF('Product Data'!A92="","",'Product Data'!A92)</f>
        <v/>
      </c>
      <c r="B92" s="13">
        <f>IF('Product Data'!A92="","",'Product Data'!B92)</f>
        <v/>
      </c>
      <c r="C92" s="14">
        <f>IF('Product Data'!A92="","",'Product Data'!C92)</f>
        <v/>
      </c>
      <c r="D92" s="14">
        <f>IF('Product Data'!A92="","",'Product Data'!D92)</f>
        <v/>
      </c>
      <c r="E92" s="14">
        <f>IF('Product Data'!A92="","",'Product Data'!E92)</f>
        <v/>
      </c>
      <c r="F92" s="14">
        <f>IF('Product Data'!A92="","",'Product Data'!F92)</f>
        <v/>
      </c>
      <c r="G92" s="9">
        <f>IF('Product Data'!A92="","",C92*D92*E92)</f>
        <v/>
      </c>
      <c r="H92" s="13">
        <f>IF('Product Data'!A92="","",AND($C92&lt;='Box Library'!$C$4,$D92&lt;='Box Library'!$D$4,$E92&lt;='Box Library'!$E$4,$F92&lt;='Box Library'!$F$4))</f>
        <v/>
      </c>
      <c r="I92" s="13">
        <f>IF('Product Data'!A92="","",AND($C92&lt;='Box Library'!$C$5,$D92&lt;='Box Library'!$D$5,$E92&lt;='Box Library'!$E$5,$F92&lt;='Box Library'!$F$5))</f>
        <v/>
      </c>
      <c r="J92" s="13">
        <f>IF('Product Data'!A92="","",AND($C92&lt;='Box Library'!$C$6,$D92&lt;='Box Library'!$D$6,$E92&lt;='Box Library'!$E$6,$F92&lt;='Box Library'!$F$6))</f>
        <v/>
      </c>
      <c r="K92" s="13">
        <f>IF('Product Data'!A92="","",AND($C92&lt;='Box Library'!$C$7,$D92&lt;='Box Library'!$D$7,$E92&lt;='Box Library'!$E$7,$F92&lt;='Box Library'!$F$7))</f>
        <v/>
      </c>
      <c r="L92" s="13">
        <f>IF('Product Data'!A92="","",AND($C92&lt;='Box Library'!$C$8,$D92&lt;='Box Library'!$D$8,$E92&lt;='Box Library'!$E$8,$F92&lt;='Box Library'!$F$8))</f>
        <v/>
      </c>
      <c r="M92" s="13">
        <f>IF('Product Data'!A92="","",IF(H92,'Box Library'!$A$4,IF(I92,'Box Library'!$A$5,IF(J92,'Box Library'!$A$6,IF(K92,'Box Library'!$A$7,IF(L92,'Box Library'!$A$8,"NO BOX FITS"))))))</f>
        <v/>
      </c>
      <c r="N92" s="15">
        <f>IF('Product Data'!A92="","",IF(H92,'Box Library'!$G$4,IF(I92,'Box Library'!$G$5,IF(J92,'Box Library'!$G$6,IF(K92,'Box Library'!$G$7,IF(L92,'Box Library'!$G$8,0))))))</f>
        <v/>
      </c>
      <c r="O92" s="16">
        <f>IF('Product Data'!A92="","",IF(M92="NO BOX FITS",0,G92/(IF(H92,'Box Library'!$H$4,IF(I92,'Box Library'!$H$5,IF(J92,'Box Library'!$H$6,IF(K92,'Box Library'!$H$7,'Box Library'!$H$8)))))))</f>
        <v/>
      </c>
      <c r="P92" s="6">
        <f>IF('Product Data'!A92="","",IF(M92="NO BOX FITS","REVIEW - NO STANDARD BOX FITS","OK"))</f>
        <v/>
      </c>
    </row>
    <row r="93">
      <c r="A93" s="13">
        <f>IF('Product Data'!A93="","",'Product Data'!A93)</f>
        <v/>
      </c>
      <c r="B93" s="13">
        <f>IF('Product Data'!A93="","",'Product Data'!B93)</f>
        <v/>
      </c>
      <c r="C93" s="14">
        <f>IF('Product Data'!A93="","",'Product Data'!C93)</f>
        <v/>
      </c>
      <c r="D93" s="14">
        <f>IF('Product Data'!A93="","",'Product Data'!D93)</f>
        <v/>
      </c>
      <c r="E93" s="14">
        <f>IF('Product Data'!A93="","",'Product Data'!E93)</f>
        <v/>
      </c>
      <c r="F93" s="14">
        <f>IF('Product Data'!A93="","",'Product Data'!F93)</f>
        <v/>
      </c>
      <c r="G93" s="9">
        <f>IF('Product Data'!A93="","",C93*D93*E93)</f>
        <v/>
      </c>
      <c r="H93" s="13">
        <f>IF('Product Data'!A93="","",AND($C93&lt;='Box Library'!$C$4,$D93&lt;='Box Library'!$D$4,$E93&lt;='Box Library'!$E$4,$F93&lt;='Box Library'!$F$4))</f>
        <v/>
      </c>
      <c r="I93" s="13">
        <f>IF('Product Data'!A93="","",AND($C93&lt;='Box Library'!$C$5,$D93&lt;='Box Library'!$D$5,$E93&lt;='Box Library'!$E$5,$F93&lt;='Box Library'!$F$5))</f>
        <v/>
      </c>
      <c r="J93" s="13">
        <f>IF('Product Data'!A93="","",AND($C93&lt;='Box Library'!$C$6,$D93&lt;='Box Library'!$D$6,$E93&lt;='Box Library'!$E$6,$F93&lt;='Box Library'!$F$6))</f>
        <v/>
      </c>
      <c r="K93" s="13">
        <f>IF('Product Data'!A93="","",AND($C93&lt;='Box Library'!$C$7,$D93&lt;='Box Library'!$D$7,$E93&lt;='Box Library'!$E$7,$F93&lt;='Box Library'!$F$7))</f>
        <v/>
      </c>
      <c r="L93" s="13">
        <f>IF('Product Data'!A93="","",AND($C93&lt;='Box Library'!$C$8,$D93&lt;='Box Library'!$D$8,$E93&lt;='Box Library'!$E$8,$F93&lt;='Box Library'!$F$8))</f>
        <v/>
      </c>
      <c r="M93" s="13">
        <f>IF('Product Data'!A93="","",IF(H93,'Box Library'!$A$4,IF(I93,'Box Library'!$A$5,IF(J93,'Box Library'!$A$6,IF(K93,'Box Library'!$A$7,IF(L93,'Box Library'!$A$8,"NO BOX FITS"))))))</f>
        <v/>
      </c>
      <c r="N93" s="15">
        <f>IF('Product Data'!A93="","",IF(H93,'Box Library'!$G$4,IF(I93,'Box Library'!$G$5,IF(J93,'Box Library'!$G$6,IF(K93,'Box Library'!$G$7,IF(L93,'Box Library'!$G$8,0))))))</f>
        <v/>
      </c>
      <c r="O93" s="16">
        <f>IF('Product Data'!A93="","",IF(M93="NO BOX FITS",0,G93/(IF(H93,'Box Library'!$H$4,IF(I93,'Box Library'!$H$5,IF(J93,'Box Library'!$H$6,IF(K93,'Box Library'!$H$7,'Box Library'!$H$8)))))))</f>
        <v/>
      </c>
      <c r="P93" s="6">
        <f>IF('Product Data'!A93="","",IF(M93="NO BOX FITS","REVIEW - NO STANDARD BOX FITS","OK"))</f>
        <v/>
      </c>
    </row>
    <row r="94">
      <c r="A94" s="13">
        <f>IF('Product Data'!A94="","",'Product Data'!A94)</f>
        <v/>
      </c>
      <c r="B94" s="13">
        <f>IF('Product Data'!A94="","",'Product Data'!B94)</f>
        <v/>
      </c>
      <c r="C94" s="14">
        <f>IF('Product Data'!A94="","",'Product Data'!C94)</f>
        <v/>
      </c>
      <c r="D94" s="14">
        <f>IF('Product Data'!A94="","",'Product Data'!D94)</f>
        <v/>
      </c>
      <c r="E94" s="14">
        <f>IF('Product Data'!A94="","",'Product Data'!E94)</f>
        <v/>
      </c>
      <c r="F94" s="14">
        <f>IF('Product Data'!A94="","",'Product Data'!F94)</f>
        <v/>
      </c>
      <c r="G94" s="9">
        <f>IF('Product Data'!A94="","",C94*D94*E94)</f>
        <v/>
      </c>
      <c r="H94" s="13">
        <f>IF('Product Data'!A94="","",AND($C94&lt;='Box Library'!$C$4,$D94&lt;='Box Library'!$D$4,$E94&lt;='Box Library'!$E$4,$F94&lt;='Box Library'!$F$4))</f>
        <v/>
      </c>
      <c r="I94" s="13">
        <f>IF('Product Data'!A94="","",AND($C94&lt;='Box Library'!$C$5,$D94&lt;='Box Library'!$D$5,$E94&lt;='Box Library'!$E$5,$F94&lt;='Box Library'!$F$5))</f>
        <v/>
      </c>
      <c r="J94" s="13">
        <f>IF('Product Data'!A94="","",AND($C94&lt;='Box Library'!$C$6,$D94&lt;='Box Library'!$D$6,$E94&lt;='Box Library'!$E$6,$F94&lt;='Box Library'!$F$6))</f>
        <v/>
      </c>
      <c r="K94" s="13">
        <f>IF('Product Data'!A94="","",AND($C94&lt;='Box Library'!$C$7,$D94&lt;='Box Library'!$D$7,$E94&lt;='Box Library'!$E$7,$F94&lt;='Box Library'!$F$7))</f>
        <v/>
      </c>
      <c r="L94" s="13">
        <f>IF('Product Data'!A94="","",AND($C94&lt;='Box Library'!$C$8,$D94&lt;='Box Library'!$D$8,$E94&lt;='Box Library'!$E$8,$F94&lt;='Box Library'!$F$8))</f>
        <v/>
      </c>
      <c r="M94" s="13">
        <f>IF('Product Data'!A94="","",IF(H94,'Box Library'!$A$4,IF(I94,'Box Library'!$A$5,IF(J94,'Box Library'!$A$6,IF(K94,'Box Library'!$A$7,IF(L94,'Box Library'!$A$8,"NO BOX FITS"))))))</f>
        <v/>
      </c>
      <c r="N94" s="15">
        <f>IF('Product Data'!A94="","",IF(H94,'Box Library'!$G$4,IF(I94,'Box Library'!$G$5,IF(J94,'Box Library'!$G$6,IF(K94,'Box Library'!$G$7,IF(L94,'Box Library'!$G$8,0))))))</f>
        <v/>
      </c>
      <c r="O94" s="16">
        <f>IF('Product Data'!A94="","",IF(M94="NO BOX FITS",0,G94/(IF(H94,'Box Library'!$H$4,IF(I94,'Box Library'!$H$5,IF(J94,'Box Library'!$H$6,IF(K94,'Box Library'!$H$7,'Box Library'!$H$8)))))))</f>
        <v/>
      </c>
      <c r="P94" s="6">
        <f>IF('Product Data'!A94="","",IF(M94="NO BOX FITS","REVIEW - NO STANDARD BOX FITS","OK"))</f>
        <v/>
      </c>
    </row>
    <row r="95">
      <c r="A95" s="13">
        <f>IF('Product Data'!A95="","",'Product Data'!A95)</f>
        <v/>
      </c>
      <c r="B95" s="13">
        <f>IF('Product Data'!A95="","",'Product Data'!B95)</f>
        <v/>
      </c>
      <c r="C95" s="14">
        <f>IF('Product Data'!A95="","",'Product Data'!C95)</f>
        <v/>
      </c>
      <c r="D95" s="14">
        <f>IF('Product Data'!A95="","",'Product Data'!D95)</f>
        <v/>
      </c>
      <c r="E95" s="14">
        <f>IF('Product Data'!A95="","",'Product Data'!E95)</f>
        <v/>
      </c>
      <c r="F95" s="14">
        <f>IF('Product Data'!A95="","",'Product Data'!F95)</f>
        <v/>
      </c>
      <c r="G95" s="9">
        <f>IF('Product Data'!A95="","",C95*D95*E95)</f>
        <v/>
      </c>
      <c r="H95" s="13">
        <f>IF('Product Data'!A95="","",AND($C95&lt;='Box Library'!$C$4,$D95&lt;='Box Library'!$D$4,$E95&lt;='Box Library'!$E$4,$F95&lt;='Box Library'!$F$4))</f>
        <v/>
      </c>
      <c r="I95" s="13">
        <f>IF('Product Data'!A95="","",AND($C95&lt;='Box Library'!$C$5,$D95&lt;='Box Library'!$D$5,$E95&lt;='Box Library'!$E$5,$F95&lt;='Box Library'!$F$5))</f>
        <v/>
      </c>
      <c r="J95" s="13">
        <f>IF('Product Data'!A95="","",AND($C95&lt;='Box Library'!$C$6,$D95&lt;='Box Library'!$D$6,$E95&lt;='Box Library'!$E$6,$F95&lt;='Box Library'!$F$6))</f>
        <v/>
      </c>
      <c r="K95" s="13">
        <f>IF('Product Data'!A95="","",AND($C95&lt;='Box Library'!$C$7,$D95&lt;='Box Library'!$D$7,$E95&lt;='Box Library'!$E$7,$F95&lt;='Box Library'!$F$7))</f>
        <v/>
      </c>
      <c r="L95" s="13">
        <f>IF('Product Data'!A95="","",AND($C95&lt;='Box Library'!$C$8,$D95&lt;='Box Library'!$D$8,$E95&lt;='Box Library'!$E$8,$F95&lt;='Box Library'!$F$8))</f>
        <v/>
      </c>
      <c r="M95" s="13">
        <f>IF('Product Data'!A95="","",IF(H95,'Box Library'!$A$4,IF(I95,'Box Library'!$A$5,IF(J95,'Box Library'!$A$6,IF(K95,'Box Library'!$A$7,IF(L95,'Box Library'!$A$8,"NO BOX FITS"))))))</f>
        <v/>
      </c>
      <c r="N95" s="15">
        <f>IF('Product Data'!A95="","",IF(H95,'Box Library'!$G$4,IF(I95,'Box Library'!$G$5,IF(J95,'Box Library'!$G$6,IF(K95,'Box Library'!$G$7,IF(L95,'Box Library'!$G$8,0))))))</f>
        <v/>
      </c>
      <c r="O95" s="16">
        <f>IF('Product Data'!A95="","",IF(M95="NO BOX FITS",0,G95/(IF(H95,'Box Library'!$H$4,IF(I95,'Box Library'!$H$5,IF(J95,'Box Library'!$H$6,IF(K95,'Box Library'!$H$7,'Box Library'!$H$8)))))))</f>
        <v/>
      </c>
      <c r="P95" s="6">
        <f>IF('Product Data'!A95="","",IF(M95="NO BOX FITS","REVIEW - NO STANDARD BOX FITS","OK"))</f>
        <v/>
      </c>
    </row>
    <row r="96">
      <c r="A96" s="13">
        <f>IF('Product Data'!A96="","",'Product Data'!A96)</f>
        <v/>
      </c>
      <c r="B96" s="13">
        <f>IF('Product Data'!A96="","",'Product Data'!B96)</f>
        <v/>
      </c>
      <c r="C96" s="14">
        <f>IF('Product Data'!A96="","",'Product Data'!C96)</f>
        <v/>
      </c>
      <c r="D96" s="14">
        <f>IF('Product Data'!A96="","",'Product Data'!D96)</f>
        <v/>
      </c>
      <c r="E96" s="14">
        <f>IF('Product Data'!A96="","",'Product Data'!E96)</f>
        <v/>
      </c>
      <c r="F96" s="14">
        <f>IF('Product Data'!A96="","",'Product Data'!F96)</f>
        <v/>
      </c>
      <c r="G96" s="9">
        <f>IF('Product Data'!A96="","",C96*D96*E96)</f>
        <v/>
      </c>
      <c r="H96" s="13">
        <f>IF('Product Data'!A96="","",AND($C96&lt;='Box Library'!$C$4,$D96&lt;='Box Library'!$D$4,$E96&lt;='Box Library'!$E$4,$F96&lt;='Box Library'!$F$4))</f>
        <v/>
      </c>
      <c r="I96" s="13">
        <f>IF('Product Data'!A96="","",AND($C96&lt;='Box Library'!$C$5,$D96&lt;='Box Library'!$D$5,$E96&lt;='Box Library'!$E$5,$F96&lt;='Box Library'!$F$5))</f>
        <v/>
      </c>
      <c r="J96" s="13">
        <f>IF('Product Data'!A96="","",AND($C96&lt;='Box Library'!$C$6,$D96&lt;='Box Library'!$D$6,$E96&lt;='Box Library'!$E$6,$F96&lt;='Box Library'!$F$6))</f>
        <v/>
      </c>
      <c r="K96" s="13">
        <f>IF('Product Data'!A96="","",AND($C96&lt;='Box Library'!$C$7,$D96&lt;='Box Library'!$D$7,$E96&lt;='Box Library'!$E$7,$F96&lt;='Box Library'!$F$7))</f>
        <v/>
      </c>
      <c r="L96" s="13">
        <f>IF('Product Data'!A96="","",AND($C96&lt;='Box Library'!$C$8,$D96&lt;='Box Library'!$D$8,$E96&lt;='Box Library'!$E$8,$F96&lt;='Box Library'!$F$8))</f>
        <v/>
      </c>
      <c r="M96" s="13">
        <f>IF('Product Data'!A96="","",IF(H96,'Box Library'!$A$4,IF(I96,'Box Library'!$A$5,IF(J96,'Box Library'!$A$6,IF(K96,'Box Library'!$A$7,IF(L96,'Box Library'!$A$8,"NO BOX FITS"))))))</f>
        <v/>
      </c>
      <c r="N96" s="15">
        <f>IF('Product Data'!A96="","",IF(H96,'Box Library'!$G$4,IF(I96,'Box Library'!$G$5,IF(J96,'Box Library'!$G$6,IF(K96,'Box Library'!$G$7,IF(L96,'Box Library'!$G$8,0))))))</f>
        <v/>
      </c>
      <c r="O96" s="16">
        <f>IF('Product Data'!A96="","",IF(M96="NO BOX FITS",0,G96/(IF(H96,'Box Library'!$H$4,IF(I96,'Box Library'!$H$5,IF(J96,'Box Library'!$H$6,IF(K96,'Box Library'!$H$7,'Box Library'!$H$8)))))))</f>
        <v/>
      </c>
      <c r="P96" s="6">
        <f>IF('Product Data'!A96="","",IF(M96="NO BOX FITS","REVIEW - NO STANDARD BOX FITS","OK"))</f>
        <v/>
      </c>
    </row>
    <row r="97">
      <c r="A97" s="13">
        <f>IF('Product Data'!A97="","",'Product Data'!A97)</f>
        <v/>
      </c>
      <c r="B97" s="13">
        <f>IF('Product Data'!A97="","",'Product Data'!B97)</f>
        <v/>
      </c>
      <c r="C97" s="14">
        <f>IF('Product Data'!A97="","",'Product Data'!C97)</f>
        <v/>
      </c>
      <c r="D97" s="14">
        <f>IF('Product Data'!A97="","",'Product Data'!D97)</f>
        <v/>
      </c>
      <c r="E97" s="14">
        <f>IF('Product Data'!A97="","",'Product Data'!E97)</f>
        <v/>
      </c>
      <c r="F97" s="14">
        <f>IF('Product Data'!A97="","",'Product Data'!F97)</f>
        <v/>
      </c>
      <c r="G97" s="9">
        <f>IF('Product Data'!A97="","",C97*D97*E97)</f>
        <v/>
      </c>
      <c r="H97" s="13">
        <f>IF('Product Data'!A97="","",AND($C97&lt;='Box Library'!$C$4,$D97&lt;='Box Library'!$D$4,$E97&lt;='Box Library'!$E$4,$F97&lt;='Box Library'!$F$4))</f>
        <v/>
      </c>
      <c r="I97" s="13">
        <f>IF('Product Data'!A97="","",AND($C97&lt;='Box Library'!$C$5,$D97&lt;='Box Library'!$D$5,$E97&lt;='Box Library'!$E$5,$F97&lt;='Box Library'!$F$5))</f>
        <v/>
      </c>
      <c r="J97" s="13">
        <f>IF('Product Data'!A97="","",AND($C97&lt;='Box Library'!$C$6,$D97&lt;='Box Library'!$D$6,$E97&lt;='Box Library'!$E$6,$F97&lt;='Box Library'!$F$6))</f>
        <v/>
      </c>
      <c r="K97" s="13">
        <f>IF('Product Data'!A97="","",AND($C97&lt;='Box Library'!$C$7,$D97&lt;='Box Library'!$D$7,$E97&lt;='Box Library'!$E$7,$F97&lt;='Box Library'!$F$7))</f>
        <v/>
      </c>
      <c r="L97" s="13">
        <f>IF('Product Data'!A97="","",AND($C97&lt;='Box Library'!$C$8,$D97&lt;='Box Library'!$D$8,$E97&lt;='Box Library'!$E$8,$F97&lt;='Box Library'!$F$8))</f>
        <v/>
      </c>
      <c r="M97" s="13">
        <f>IF('Product Data'!A97="","",IF(H97,'Box Library'!$A$4,IF(I97,'Box Library'!$A$5,IF(J97,'Box Library'!$A$6,IF(K97,'Box Library'!$A$7,IF(L97,'Box Library'!$A$8,"NO BOX FITS"))))))</f>
        <v/>
      </c>
      <c r="N97" s="15">
        <f>IF('Product Data'!A97="","",IF(H97,'Box Library'!$G$4,IF(I97,'Box Library'!$G$5,IF(J97,'Box Library'!$G$6,IF(K97,'Box Library'!$G$7,IF(L97,'Box Library'!$G$8,0))))))</f>
        <v/>
      </c>
      <c r="O97" s="16">
        <f>IF('Product Data'!A97="","",IF(M97="NO BOX FITS",0,G97/(IF(H97,'Box Library'!$H$4,IF(I97,'Box Library'!$H$5,IF(J97,'Box Library'!$H$6,IF(K97,'Box Library'!$H$7,'Box Library'!$H$8)))))))</f>
        <v/>
      </c>
      <c r="P97" s="6">
        <f>IF('Product Data'!A97="","",IF(M97="NO BOX FITS","REVIEW - NO STANDARD BOX FITS","OK"))</f>
        <v/>
      </c>
    </row>
    <row r="98">
      <c r="A98" s="13">
        <f>IF('Product Data'!A98="","",'Product Data'!A98)</f>
        <v/>
      </c>
      <c r="B98" s="13">
        <f>IF('Product Data'!A98="","",'Product Data'!B98)</f>
        <v/>
      </c>
      <c r="C98" s="14">
        <f>IF('Product Data'!A98="","",'Product Data'!C98)</f>
        <v/>
      </c>
      <c r="D98" s="14">
        <f>IF('Product Data'!A98="","",'Product Data'!D98)</f>
        <v/>
      </c>
      <c r="E98" s="14">
        <f>IF('Product Data'!A98="","",'Product Data'!E98)</f>
        <v/>
      </c>
      <c r="F98" s="14">
        <f>IF('Product Data'!A98="","",'Product Data'!F98)</f>
        <v/>
      </c>
      <c r="G98" s="9">
        <f>IF('Product Data'!A98="","",C98*D98*E98)</f>
        <v/>
      </c>
      <c r="H98" s="13">
        <f>IF('Product Data'!A98="","",AND($C98&lt;='Box Library'!$C$4,$D98&lt;='Box Library'!$D$4,$E98&lt;='Box Library'!$E$4,$F98&lt;='Box Library'!$F$4))</f>
        <v/>
      </c>
      <c r="I98" s="13">
        <f>IF('Product Data'!A98="","",AND($C98&lt;='Box Library'!$C$5,$D98&lt;='Box Library'!$D$5,$E98&lt;='Box Library'!$E$5,$F98&lt;='Box Library'!$F$5))</f>
        <v/>
      </c>
      <c r="J98" s="13">
        <f>IF('Product Data'!A98="","",AND($C98&lt;='Box Library'!$C$6,$D98&lt;='Box Library'!$D$6,$E98&lt;='Box Library'!$E$6,$F98&lt;='Box Library'!$F$6))</f>
        <v/>
      </c>
      <c r="K98" s="13">
        <f>IF('Product Data'!A98="","",AND($C98&lt;='Box Library'!$C$7,$D98&lt;='Box Library'!$D$7,$E98&lt;='Box Library'!$E$7,$F98&lt;='Box Library'!$F$7))</f>
        <v/>
      </c>
      <c r="L98" s="13">
        <f>IF('Product Data'!A98="","",AND($C98&lt;='Box Library'!$C$8,$D98&lt;='Box Library'!$D$8,$E98&lt;='Box Library'!$E$8,$F98&lt;='Box Library'!$F$8))</f>
        <v/>
      </c>
      <c r="M98" s="13">
        <f>IF('Product Data'!A98="","",IF(H98,'Box Library'!$A$4,IF(I98,'Box Library'!$A$5,IF(J98,'Box Library'!$A$6,IF(K98,'Box Library'!$A$7,IF(L98,'Box Library'!$A$8,"NO BOX FITS"))))))</f>
        <v/>
      </c>
      <c r="N98" s="15">
        <f>IF('Product Data'!A98="","",IF(H98,'Box Library'!$G$4,IF(I98,'Box Library'!$G$5,IF(J98,'Box Library'!$G$6,IF(K98,'Box Library'!$G$7,IF(L98,'Box Library'!$G$8,0))))))</f>
        <v/>
      </c>
      <c r="O98" s="16">
        <f>IF('Product Data'!A98="","",IF(M98="NO BOX FITS",0,G98/(IF(H98,'Box Library'!$H$4,IF(I98,'Box Library'!$H$5,IF(J98,'Box Library'!$H$6,IF(K98,'Box Library'!$H$7,'Box Library'!$H$8)))))))</f>
        <v/>
      </c>
      <c r="P98" s="6">
        <f>IF('Product Data'!A98="","",IF(M98="NO BOX FITS","REVIEW - NO STANDARD BOX FITS","OK"))</f>
        <v/>
      </c>
    </row>
    <row r="99">
      <c r="A99" s="13">
        <f>IF('Product Data'!A99="","",'Product Data'!A99)</f>
        <v/>
      </c>
      <c r="B99" s="13">
        <f>IF('Product Data'!A99="","",'Product Data'!B99)</f>
        <v/>
      </c>
      <c r="C99" s="14">
        <f>IF('Product Data'!A99="","",'Product Data'!C99)</f>
        <v/>
      </c>
      <c r="D99" s="14">
        <f>IF('Product Data'!A99="","",'Product Data'!D99)</f>
        <v/>
      </c>
      <c r="E99" s="14">
        <f>IF('Product Data'!A99="","",'Product Data'!E99)</f>
        <v/>
      </c>
      <c r="F99" s="14">
        <f>IF('Product Data'!A99="","",'Product Data'!F99)</f>
        <v/>
      </c>
      <c r="G99" s="9">
        <f>IF('Product Data'!A99="","",C99*D99*E99)</f>
        <v/>
      </c>
      <c r="H99" s="13">
        <f>IF('Product Data'!A99="","",AND($C99&lt;='Box Library'!$C$4,$D99&lt;='Box Library'!$D$4,$E99&lt;='Box Library'!$E$4,$F99&lt;='Box Library'!$F$4))</f>
        <v/>
      </c>
      <c r="I99" s="13">
        <f>IF('Product Data'!A99="","",AND($C99&lt;='Box Library'!$C$5,$D99&lt;='Box Library'!$D$5,$E99&lt;='Box Library'!$E$5,$F99&lt;='Box Library'!$F$5))</f>
        <v/>
      </c>
      <c r="J99" s="13">
        <f>IF('Product Data'!A99="","",AND($C99&lt;='Box Library'!$C$6,$D99&lt;='Box Library'!$D$6,$E99&lt;='Box Library'!$E$6,$F99&lt;='Box Library'!$F$6))</f>
        <v/>
      </c>
      <c r="K99" s="13">
        <f>IF('Product Data'!A99="","",AND($C99&lt;='Box Library'!$C$7,$D99&lt;='Box Library'!$D$7,$E99&lt;='Box Library'!$E$7,$F99&lt;='Box Library'!$F$7))</f>
        <v/>
      </c>
      <c r="L99" s="13">
        <f>IF('Product Data'!A99="","",AND($C99&lt;='Box Library'!$C$8,$D99&lt;='Box Library'!$D$8,$E99&lt;='Box Library'!$E$8,$F99&lt;='Box Library'!$F$8))</f>
        <v/>
      </c>
      <c r="M99" s="13">
        <f>IF('Product Data'!A99="","",IF(H99,'Box Library'!$A$4,IF(I99,'Box Library'!$A$5,IF(J99,'Box Library'!$A$6,IF(K99,'Box Library'!$A$7,IF(L99,'Box Library'!$A$8,"NO BOX FITS"))))))</f>
        <v/>
      </c>
      <c r="N99" s="15">
        <f>IF('Product Data'!A99="","",IF(H99,'Box Library'!$G$4,IF(I99,'Box Library'!$G$5,IF(J99,'Box Library'!$G$6,IF(K99,'Box Library'!$G$7,IF(L99,'Box Library'!$G$8,0))))))</f>
        <v/>
      </c>
      <c r="O99" s="16">
        <f>IF('Product Data'!A99="","",IF(M99="NO BOX FITS",0,G99/(IF(H99,'Box Library'!$H$4,IF(I99,'Box Library'!$H$5,IF(J99,'Box Library'!$H$6,IF(K99,'Box Library'!$H$7,'Box Library'!$H$8)))))))</f>
        <v/>
      </c>
      <c r="P99" s="6">
        <f>IF('Product Data'!A99="","",IF(M99="NO BOX FITS","REVIEW - NO STANDARD BOX FITS","OK"))</f>
        <v/>
      </c>
    </row>
    <row r="100">
      <c r="A100" s="13">
        <f>IF('Product Data'!A100="","",'Product Data'!A100)</f>
        <v/>
      </c>
      <c r="B100" s="13">
        <f>IF('Product Data'!A100="","",'Product Data'!B100)</f>
        <v/>
      </c>
      <c r="C100" s="14">
        <f>IF('Product Data'!A100="","",'Product Data'!C100)</f>
        <v/>
      </c>
      <c r="D100" s="14">
        <f>IF('Product Data'!A100="","",'Product Data'!D100)</f>
        <v/>
      </c>
      <c r="E100" s="14">
        <f>IF('Product Data'!A100="","",'Product Data'!E100)</f>
        <v/>
      </c>
      <c r="F100" s="14">
        <f>IF('Product Data'!A100="","",'Product Data'!F100)</f>
        <v/>
      </c>
      <c r="G100" s="9">
        <f>IF('Product Data'!A100="","",C100*D100*E100)</f>
        <v/>
      </c>
      <c r="H100" s="13">
        <f>IF('Product Data'!A100="","",AND($C100&lt;='Box Library'!$C$4,$D100&lt;='Box Library'!$D$4,$E100&lt;='Box Library'!$E$4,$F100&lt;='Box Library'!$F$4))</f>
        <v/>
      </c>
      <c r="I100" s="13">
        <f>IF('Product Data'!A100="","",AND($C100&lt;='Box Library'!$C$5,$D100&lt;='Box Library'!$D$5,$E100&lt;='Box Library'!$E$5,$F100&lt;='Box Library'!$F$5))</f>
        <v/>
      </c>
      <c r="J100" s="13">
        <f>IF('Product Data'!A100="","",AND($C100&lt;='Box Library'!$C$6,$D100&lt;='Box Library'!$D$6,$E100&lt;='Box Library'!$E$6,$F100&lt;='Box Library'!$F$6))</f>
        <v/>
      </c>
      <c r="K100" s="13">
        <f>IF('Product Data'!A100="","",AND($C100&lt;='Box Library'!$C$7,$D100&lt;='Box Library'!$D$7,$E100&lt;='Box Library'!$E$7,$F100&lt;='Box Library'!$F$7))</f>
        <v/>
      </c>
      <c r="L100" s="13">
        <f>IF('Product Data'!A100="","",AND($C100&lt;='Box Library'!$C$8,$D100&lt;='Box Library'!$D$8,$E100&lt;='Box Library'!$E$8,$F100&lt;='Box Library'!$F$8))</f>
        <v/>
      </c>
      <c r="M100" s="13">
        <f>IF('Product Data'!A100="","",IF(H100,'Box Library'!$A$4,IF(I100,'Box Library'!$A$5,IF(J100,'Box Library'!$A$6,IF(K100,'Box Library'!$A$7,IF(L100,'Box Library'!$A$8,"NO BOX FITS"))))))</f>
        <v/>
      </c>
      <c r="N100" s="15">
        <f>IF('Product Data'!A100="","",IF(H100,'Box Library'!$G$4,IF(I100,'Box Library'!$G$5,IF(J100,'Box Library'!$G$6,IF(K100,'Box Library'!$G$7,IF(L100,'Box Library'!$G$8,0))))))</f>
        <v/>
      </c>
      <c r="O100" s="16">
        <f>IF('Product Data'!A100="","",IF(M100="NO BOX FITS",0,G100/(IF(H100,'Box Library'!$H$4,IF(I100,'Box Library'!$H$5,IF(J100,'Box Library'!$H$6,IF(K100,'Box Library'!$H$7,'Box Library'!$H$8)))))))</f>
        <v/>
      </c>
      <c r="P100" s="6">
        <f>IF('Product Data'!A100="","",IF(M100="NO BOX FITS","REVIEW - NO STANDARD BOX FITS","OK"))</f>
        <v/>
      </c>
    </row>
    <row r="101">
      <c r="A101" s="13">
        <f>IF('Product Data'!A101="","",'Product Data'!A101)</f>
        <v/>
      </c>
      <c r="B101" s="13">
        <f>IF('Product Data'!A101="","",'Product Data'!B101)</f>
        <v/>
      </c>
      <c r="C101" s="14">
        <f>IF('Product Data'!A101="","",'Product Data'!C101)</f>
        <v/>
      </c>
      <c r="D101" s="14">
        <f>IF('Product Data'!A101="","",'Product Data'!D101)</f>
        <v/>
      </c>
      <c r="E101" s="14">
        <f>IF('Product Data'!A101="","",'Product Data'!E101)</f>
        <v/>
      </c>
      <c r="F101" s="14">
        <f>IF('Product Data'!A101="","",'Product Data'!F101)</f>
        <v/>
      </c>
      <c r="G101" s="9">
        <f>IF('Product Data'!A101="","",C101*D101*E101)</f>
        <v/>
      </c>
      <c r="H101" s="13">
        <f>IF('Product Data'!A101="","",AND($C101&lt;='Box Library'!$C$4,$D101&lt;='Box Library'!$D$4,$E101&lt;='Box Library'!$E$4,$F101&lt;='Box Library'!$F$4))</f>
        <v/>
      </c>
      <c r="I101" s="13">
        <f>IF('Product Data'!A101="","",AND($C101&lt;='Box Library'!$C$5,$D101&lt;='Box Library'!$D$5,$E101&lt;='Box Library'!$E$5,$F101&lt;='Box Library'!$F$5))</f>
        <v/>
      </c>
      <c r="J101" s="13">
        <f>IF('Product Data'!A101="","",AND($C101&lt;='Box Library'!$C$6,$D101&lt;='Box Library'!$D$6,$E101&lt;='Box Library'!$E$6,$F101&lt;='Box Library'!$F$6))</f>
        <v/>
      </c>
      <c r="K101" s="13">
        <f>IF('Product Data'!A101="","",AND($C101&lt;='Box Library'!$C$7,$D101&lt;='Box Library'!$D$7,$E101&lt;='Box Library'!$E$7,$F101&lt;='Box Library'!$F$7))</f>
        <v/>
      </c>
      <c r="L101" s="13">
        <f>IF('Product Data'!A101="","",AND($C101&lt;='Box Library'!$C$8,$D101&lt;='Box Library'!$D$8,$E101&lt;='Box Library'!$E$8,$F101&lt;='Box Library'!$F$8))</f>
        <v/>
      </c>
      <c r="M101" s="13">
        <f>IF('Product Data'!A101="","",IF(H101,'Box Library'!$A$4,IF(I101,'Box Library'!$A$5,IF(J101,'Box Library'!$A$6,IF(K101,'Box Library'!$A$7,IF(L101,'Box Library'!$A$8,"NO BOX FITS"))))))</f>
        <v/>
      </c>
      <c r="N101" s="15">
        <f>IF('Product Data'!A101="","",IF(H101,'Box Library'!$G$4,IF(I101,'Box Library'!$G$5,IF(J101,'Box Library'!$G$6,IF(K101,'Box Library'!$G$7,IF(L101,'Box Library'!$G$8,0))))))</f>
        <v/>
      </c>
      <c r="O101" s="16">
        <f>IF('Product Data'!A101="","",IF(M101="NO BOX FITS",0,G101/(IF(H101,'Box Library'!$H$4,IF(I101,'Box Library'!$H$5,IF(J101,'Box Library'!$H$6,IF(K101,'Box Library'!$H$7,'Box Library'!$H$8)))))))</f>
        <v/>
      </c>
      <c r="P101" s="6">
        <f>IF('Product Data'!A101="","",IF(M101="NO BOX FITS","REVIEW - NO STANDARD BOX FITS","OK"))</f>
        <v/>
      </c>
    </row>
    <row r="102">
      <c r="A102" s="13">
        <f>IF('Product Data'!A102="","",'Product Data'!A102)</f>
        <v/>
      </c>
      <c r="B102" s="13">
        <f>IF('Product Data'!A102="","",'Product Data'!B102)</f>
        <v/>
      </c>
      <c r="C102" s="14">
        <f>IF('Product Data'!A102="","",'Product Data'!C102)</f>
        <v/>
      </c>
      <c r="D102" s="14">
        <f>IF('Product Data'!A102="","",'Product Data'!D102)</f>
        <v/>
      </c>
      <c r="E102" s="14">
        <f>IF('Product Data'!A102="","",'Product Data'!E102)</f>
        <v/>
      </c>
      <c r="F102" s="14">
        <f>IF('Product Data'!A102="","",'Product Data'!F102)</f>
        <v/>
      </c>
      <c r="G102" s="9">
        <f>IF('Product Data'!A102="","",C102*D102*E102)</f>
        <v/>
      </c>
      <c r="H102" s="13">
        <f>IF('Product Data'!A102="","",AND($C102&lt;='Box Library'!$C$4,$D102&lt;='Box Library'!$D$4,$E102&lt;='Box Library'!$E$4,$F102&lt;='Box Library'!$F$4))</f>
        <v/>
      </c>
      <c r="I102" s="13">
        <f>IF('Product Data'!A102="","",AND($C102&lt;='Box Library'!$C$5,$D102&lt;='Box Library'!$D$5,$E102&lt;='Box Library'!$E$5,$F102&lt;='Box Library'!$F$5))</f>
        <v/>
      </c>
      <c r="J102" s="13">
        <f>IF('Product Data'!A102="","",AND($C102&lt;='Box Library'!$C$6,$D102&lt;='Box Library'!$D$6,$E102&lt;='Box Library'!$E$6,$F102&lt;='Box Library'!$F$6))</f>
        <v/>
      </c>
      <c r="K102" s="13">
        <f>IF('Product Data'!A102="","",AND($C102&lt;='Box Library'!$C$7,$D102&lt;='Box Library'!$D$7,$E102&lt;='Box Library'!$E$7,$F102&lt;='Box Library'!$F$7))</f>
        <v/>
      </c>
      <c r="L102" s="13">
        <f>IF('Product Data'!A102="","",AND($C102&lt;='Box Library'!$C$8,$D102&lt;='Box Library'!$D$8,$E102&lt;='Box Library'!$E$8,$F102&lt;='Box Library'!$F$8))</f>
        <v/>
      </c>
      <c r="M102" s="13">
        <f>IF('Product Data'!A102="","",IF(H102,'Box Library'!$A$4,IF(I102,'Box Library'!$A$5,IF(J102,'Box Library'!$A$6,IF(K102,'Box Library'!$A$7,IF(L102,'Box Library'!$A$8,"NO BOX FITS"))))))</f>
        <v/>
      </c>
      <c r="N102" s="15">
        <f>IF('Product Data'!A102="","",IF(H102,'Box Library'!$G$4,IF(I102,'Box Library'!$G$5,IF(J102,'Box Library'!$G$6,IF(K102,'Box Library'!$G$7,IF(L102,'Box Library'!$G$8,0))))))</f>
        <v/>
      </c>
      <c r="O102" s="16">
        <f>IF('Product Data'!A102="","",IF(M102="NO BOX FITS",0,G102/(IF(H102,'Box Library'!$H$4,IF(I102,'Box Library'!$H$5,IF(J102,'Box Library'!$H$6,IF(K102,'Box Library'!$H$7,'Box Library'!$H$8)))))))</f>
        <v/>
      </c>
      <c r="P102" s="6">
        <f>IF('Product Data'!A102="","",IF(M102="NO BOX FITS","REVIEW - NO STANDARD BOX FITS","OK"))</f>
        <v/>
      </c>
    </row>
    <row r="103">
      <c r="A103" s="13">
        <f>IF('Product Data'!A103="","",'Product Data'!A103)</f>
        <v/>
      </c>
      <c r="B103" s="13">
        <f>IF('Product Data'!A103="","",'Product Data'!B103)</f>
        <v/>
      </c>
      <c r="C103" s="14">
        <f>IF('Product Data'!A103="","",'Product Data'!C103)</f>
        <v/>
      </c>
      <c r="D103" s="14">
        <f>IF('Product Data'!A103="","",'Product Data'!D103)</f>
        <v/>
      </c>
      <c r="E103" s="14">
        <f>IF('Product Data'!A103="","",'Product Data'!E103)</f>
        <v/>
      </c>
      <c r="F103" s="14">
        <f>IF('Product Data'!A103="","",'Product Data'!F103)</f>
        <v/>
      </c>
      <c r="G103" s="9">
        <f>IF('Product Data'!A103="","",C103*D103*E103)</f>
        <v/>
      </c>
      <c r="H103" s="13">
        <f>IF('Product Data'!A103="","",AND($C103&lt;='Box Library'!$C$4,$D103&lt;='Box Library'!$D$4,$E103&lt;='Box Library'!$E$4,$F103&lt;='Box Library'!$F$4))</f>
        <v/>
      </c>
      <c r="I103" s="13">
        <f>IF('Product Data'!A103="","",AND($C103&lt;='Box Library'!$C$5,$D103&lt;='Box Library'!$D$5,$E103&lt;='Box Library'!$E$5,$F103&lt;='Box Library'!$F$5))</f>
        <v/>
      </c>
      <c r="J103" s="13">
        <f>IF('Product Data'!A103="","",AND($C103&lt;='Box Library'!$C$6,$D103&lt;='Box Library'!$D$6,$E103&lt;='Box Library'!$E$6,$F103&lt;='Box Library'!$F$6))</f>
        <v/>
      </c>
      <c r="K103" s="13">
        <f>IF('Product Data'!A103="","",AND($C103&lt;='Box Library'!$C$7,$D103&lt;='Box Library'!$D$7,$E103&lt;='Box Library'!$E$7,$F103&lt;='Box Library'!$F$7))</f>
        <v/>
      </c>
      <c r="L103" s="13">
        <f>IF('Product Data'!A103="","",AND($C103&lt;='Box Library'!$C$8,$D103&lt;='Box Library'!$D$8,$E103&lt;='Box Library'!$E$8,$F103&lt;='Box Library'!$F$8))</f>
        <v/>
      </c>
      <c r="M103" s="13">
        <f>IF('Product Data'!A103="","",IF(H103,'Box Library'!$A$4,IF(I103,'Box Library'!$A$5,IF(J103,'Box Library'!$A$6,IF(K103,'Box Library'!$A$7,IF(L103,'Box Library'!$A$8,"NO BOX FITS"))))))</f>
        <v/>
      </c>
      <c r="N103" s="15">
        <f>IF('Product Data'!A103="","",IF(H103,'Box Library'!$G$4,IF(I103,'Box Library'!$G$5,IF(J103,'Box Library'!$G$6,IF(K103,'Box Library'!$G$7,IF(L103,'Box Library'!$G$8,0))))))</f>
        <v/>
      </c>
      <c r="O103" s="16">
        <f>IF('Product Data'!A103="","",IF(M103="NO BOX FITS",0,G103/(IF(H103,'Box Library'!$H$4,IF(I103,'Box Library'!$H$5,IF(J103,'Box Library'!$H$6,IF(K103,'Box Library'!$H$7,'Box Library'!$H$8)))))))</f>
        <v/>
      </c>
      <c r="P103" s="6">
        <f>IF('Product Data'!A103="","",IF(M103="NO BOX FITS","REVIEW - NO STANDARD BOX FITS","OK"))</f>
        <v/>
      </c>
    </row>
    <row r="104">
      <c r="A104" s="13">
        <f>IF('Product Data'!A104="","",'Product Data'!A104)</f>
        <v/>
      </c>
      <c r="B104" s="13">
        <f>IF('Product Data'!A104="","",'Product Data'!B104)</f>
        <v/>
      </c>
      <c r="C104" s="14">
        <f>IF('Product Data'!A104="","",'Product Data'!C104)</f>
        <v/>
      </c>
      <c r="D104" s="14">
        <f>IF('Product Data'!A104="","",'Product Data'!D104)</f>
        <v/>
      </c>
      <c r="E104" s="14">
        <f>IF('Product Data'!A104="","",'Product Data'!E104)</f>
        <v/>
      </c>
      <c r="F104" s="14">
        <f>IF('Product Data'!A104="","",'Product Data'!F104)</f>
        <v/>
      </c>
      <c r="G104" s="9">
        <f>IF('Product Data'!A104="","",C104*D104*E104)</f>
        <v/>
      </c>
      <c r="H104" s="13">
        <f>IF('Product Data'!A104="","",AND($C104&lt;='Box Library'!$C$4,$D104&lt;='Box Library'!$D$4,$E104&lt;='Box Library'!$E$4,$F104&lt;='Box Library'!$F$4))</f>
        <v/>
      </c>
      <c r="I104" s="13">
        <f>IF('Product Data'!A104="","",AND($C104&lt;='Box Library'!$C$5,$D104&lt;='Box Library'!$D$5,$E104&lt;='Box Library'!$E$5,$F104&lt;='Box Library'!$F$5))</f>
        <v/>
      </c>
      <c r="J104" s="13">
        <f>IF('Product Data'!A104="","",AND($C104&lt;='Box Library'!$C$6,$D104&lt;='Box Library'!$D$6,$E104&lt;='Box Library'!$E$6,$F104&lt;='Box Library'!$F$6))</f>
        <v/>
      </c>
      <c r="K104" s="13">
        <f>IF('Product Data'!A104="","",AND($C104&lt;='Box Library'!$C$7,$D104&lt;='Box Library'!$D$7,$E104&lt;='Box Library'!$E$7,$F104&lt;='Box Library'!$F$7))</f>
        <v/>
      </c>
      <c r="L104" s="13">
        <f>IF('Product Data'!A104="","",AND($C104&lt;='Box Library'!$C$8,$D104&lt;='Box Library'!$D$8,$E104&lt;='Box Library'!$E$8,$F104&lt;='Box Library'!$F$8))</f>
        <v/>
      </c>
      <c r="M104" s="13">
        <f>IF('Product Data'!A104="","",IF(H104,'Box Library'!$A$4,IF(I104,'Box Library'!$A$5,IF(J104,'Box Library'!$A$6,IF(K104,'Box Library'!$A$7,IF(L104,'Box Library'!$A$8,"NO BOX FITS"))))))</f>
        <v/>
      </c>
      <c r="N104" s="15">
        <f>IF('Product Data'!A104="","",IF(H104,'Box Library'!$G$4,IF(I104,'Box Library'!$G$5,IF(J104,'Box Library'!$G$6,IF(K104,'Box Library'!$G$7,IF(L104,'Box Library'!$G$8,0))))))</f>
        <v/>
      </c>
      <c r="O104" s="16">
        <f>IF('Product Data'!A104="","",IF(M104="NO BOX FITS",0,G104/(IF(H104,'Box Library'!$H$4,IF(I104,'Box Library'!$H$5,IF(J104,'Box Library'!$H$6,IF(K104,'Box Library'!$H$7,'Box Library'!$H$8)))))))</f>
        <v/>
      </c>
      <c r="P104" s="6">
        <f>IF('Product Data'!A104="","",IF(M104="NO BOX FITS","REVIEW - NO STANDARD BOX FITS","OK"))</f>
        <v/>
      </c>
    </row>
    <row r="105">
      <c r="A105" s="13">
        <f>IF('Product Data'!A105="","",'Product Data'!A105)</f>
        <v/>
      </c>
      <c r="B105" s="13">
        <f>IF('Product Data'!A105="","",'Product Data'!B105)</f>
        <v/>
      </c>
      <c r="C105" s="14">
        <f>IF('Product Data'!A105="","",'Product Data'!C105)</f>
        <v/>
      </c>
      <c r="D105" s="14">
        <f>IF('Product Data'!A105="","",'Product Data'!D105)</f>
        <v/>
      </c>
      <c r="E105" s="14">
        <f>IF('Product Data'!A105="","",'Product Data'!E105)</f>
        <v/>
      </c>
      <c r="F105" s="14">
        <f>IF('Product Data'!A105="","",'Product Data'!F105)</f>
        <v/>
      </c>
      <c r="G105" s="9">
        <f>IF('Product Data'!A105="","",C105*D105*E105)</f>
        <v/>
      </c>
      <c r="H105" s="13">
        <f>IF('Product Data'!A105="","",AND($C105&lt;='Box Library'!$C$4,$D105&lt;='Box Library'!$D$4,$E105&lt;='Box Library'!$E$4,$F105&lt;='Box Library'!$F$4))</f>
        <v/>
      </c>
      <c r="I105" s="13">
        <f>IF('Product Data'!A105="","",AND($C105&lt;='Box Library'!$C$5,$D105&lt;='Box Library'!$D$5,$E105&lt;='Box Library'!$E$5,$F105&lt;='Box Library'!$F$5))</f>
        <v/>
      </c>
      <c r="J105" s="13">
        <f>IF('Product Data'!A105="","",AND($C105&lt;='Box Library'!$C$6,$D105&lt;='Box Library'!$D$6,$E105&lt;='Box Library'!$E$6,$F105&lt;='Box Library'!$F$6))</f>
        <v/>
      </c>
      <c r="K105" s="13">
        <f>IF('Product Data'!A105="","",AND($C105&lt;='Box Library'!$C$7,$D105&lt;='Box Library'!$D$7,$E105&lt;='Box Library'!$E$7,$F105&lt;='Box Library'!$F$7))</f>
        <v/>
      </c>
      <c r="L105" s="13">
        <f>IF('Product Data'!A105="","",AND($C105&lt;='Box Library'!$C$8,$D105&lt;='Box Library'!$D$8,$E105&lt;='Box Library'!$E$8,$F105&lt;='Box Library'!$F$8))</f>
        <v/>
      </c>
      <c r="M105" s="13">
        <f>IF('Product Data'!A105="","",IF(H105,'Box Library'!$A$4,IF(I105,'Box Library'!$A$5,IF(J105,'Box Library'!$A$6,IF(K105,'Box Library'!$A$7,IF(L105,'Box Library'!$A$8,"NO BOX FITS"))))))</f>
        <v/>
      </c>
      <c r="N105" s="15">
        <f>IF('Product Data'!A105="","",IF(H105,'Box Library'!$G$4,IF(I105,'Box Library'!$G$5,IF(J105,'Box Library'!$G$6,IF(K105,'Box Library'!$G$7,IF(L105,'Box Library'!$G$8,0))))))</f>
        <v/>
      </c>
      <c r="O105" s="16">
        <f>IF('Product Data'!A105="","",IF(M105="NO BOX FITS",0,G105/(IF(H105,'Box Library'!$H$4,IF(I105,'Box Library'!$H$5,IF(J105,'Box Library'!$H$6,IF(K105,'Box Library'!$H$7,'Box Library'!$H$8)))))))</f>
        <v/>
      </c>
      <c r="P105" s="6">
        <f>IF('Product Data'!A105="","",IF(M105="NO BOX FITS","REVIEW - NO STANDARD BOX FITS","OK"))</f>
        <v/>
      </c>
    </row>
    <row r="106">
      <c r="A106" s="13">
        <f>IF('Product Data'!A106="","",'Product Data'!A106)</f>
        <v/>
      </c>
      <c r="B106" s="13">
        <f>IF('Product Data'!A106="","",'Product Data'!B106)</f>
        <v/>
      </c>
      <c r="C106" s="14">
        <f>IF('Product Data'!A106="","",'Product Data'!C106)</f>
        <v/>
      </c>
      <c r="D106" s="14">
        <f>IF('Product Data'!A106="","",'Product Data'!D106)</f>
        <v/>
      </c>
      <c r="E106" s="14">
        <f>IF('Product Data'!A106="","",'Product Data'!E106)</f>
        <v/>
      </c>
      <c r="F106" s="14">
        <f>IF('Product Data'!A106="","",'Product Data'!F106)</f>
        <v/>
      </c>
      <c r="G106" s="9">
        <f>IF('Product Data'!A106="","",C106*D106*E106)</f>
        <v/>
      </c>
      <c r="H106" s="13">
        <f>IF('Product Data'!A106="","",AND($C106&lt;='Box Library'!$C$4,$D106&lt;='Box Library'!$D$4,$E106&lt;='Box Library'!$E$4,$F106&lt;='Box Library'!$F$4))</f>
        <v/>
      </c>
      <c r="I106" s="13">
        <f>IF('Product Data'!A106="","",AND($C106&lt;='Box Library'!$C$5,$D106&lt;='Box Library'!$D$5,$E106&lt;='Box Library'!$E$5,$F106&lt;='Box Library'!$F$5))</f>
        <v/>
      </c>
      <c r="J106" s="13">
        <f>IF('Product Data'!A106="","",AND($C106&lt;='Box Library'!$C$6,$D106&lt;='Box Library'!$D$6,$E106&lt;='Box Library'!$E$6,$F106&lt;='Box Library'!$F$6))</f>
        <v/>
      </c>
      <c r="K106" s="13">
        <f>IF('Product Data'!A106="","",AND($C106&lt;='Box Library'!$C$7,$D106&lt;='Box Library'!$D$7,$E106&lt;='Box Library'!$E$7,$F106&lt;='Box Library'!$F$7))</f>
        <v/>
      </c>
      <c r="L106" s="13">
        <f>IF('Product Data'!A106="","",AND($C106&lt;='Box Library'!$C$8,$D106&lt;='Box Library'!$D$8,$E106&lt;='Box Library'!$E$8,$F106&lt;='Box Library'!$F$8))</f>
        <v/>
      </c>
      <c r="M106" s="13">
        <f>IF('Product Data'!A106="","",IF(H106,'Box Library'!$A$4,IF(I106,'Box Library'!$A$5,IF(J106,'Box Library'!$A$6,IF(K106,'Box Library'!$A$7,IF(L106,'Box Library'!$A$8,"NO BOX FITS"))))))</f>
        <v/>
      </c>
      <c r="N106" s="15">
        <f>IF('Product Data'!A106="","",IF(H106,'Box Library'!$G$4,IF(I106,'Box Library'!$G$5,IF(J106,'Box Library'!$G$6,IF(K106,'Box Library'!$G$7,IF(L106,'Box Library'!$G$8,0))))))</f>
        <v/>
      </c>
      <c r="O106" s="16">
        <f>IF('Product Data'!A106="","",IF(M106="NO BOX FITS",0,G106/(IF(H106,'Box Library'!$H$4,IF(I106,'Box Library'!$H$5,IF(J106,'Box Library'!$H$6,IF(K106,'Box Library'!$H$7,'Box Library'!$H$8)))))))</f>
        <v/>
      </c>
      <c r="P106" s="6">
        <f>IF('Product Data'!A106="","",IF(M106="NO BOX FITS","REVIEW - NO STANDARD BOX FITS","OK"))</f>
        <v/>
      </c>
    </row>
    <row r="107">
      <c r="A107" s="13">
        <f>IF('Product Data'!A107="","",'Product Data'!A107)</f>
        <v/>
      </c>
      <c r="B107" s="13">
        <f>IF('Product Data'!A107="","",'Product Data'!B107)</f>
        <v/>
      </c>
      <c r="C107" s="14">
        <f>IF('Product Data'!A107="","",'Product Data'!C107)</f>
        <v/>
      </c>
      <c r="D107" s="14">
        <f>IF('Product Data'!A107="","",'Product Data'!D107)</f>
        <v/>
      </c>
      <c r="E107" s="14">
        <f>IF('Product Data'!A107="","",'Product Data'!E107)</f>
        <v/>
      </c>
      <c r="F107" s="14">
        <f>IF('Product Data'!A107="","",'Product Data'!F107)</f>
        <v/>
      </c>
      <c r="G107" s="9">
        <f>IF('Product Data'!A107="","",C107*D107*E107)</f>
        <v/>
      </c>
      <c r="H107" s="13">
        <f>IF('Product Data'!A107="","",AND($C107&lt;='Box Library'!$C$4,$D107&lt;='Box Library'!$D$4,$E107&lt;='Box Library'!$E$4,$F107&lt;='Box Library'!$F$4))</f>
        <v/>
      </c>
      <c r="I107" s="13">
        <f>IF('Product Data'!A107="","",AND($C107&lt;='Box Library'!$C$5,$D107&lt;='Box Library'!$D$5,$E107&lt;='Box Library'!$E$5,$F107&lt;='Box Library'!$F$5))</f>
        <v/>
      </c>
      <c r="J107" s="13">
        <f>IF('Product Data'!A107="","",AND($C107&lt;='Box Library'!$C$6,$D107&lt;='Box Library'!$D$6,$E107&lt;='Box Library'!$E$6,$F107&lt;='Box Library'!$F$6))</f>
        <v/>
      </c>
      <c r="K107" s="13">
        <f>IF('Product Data'!A107="","",AND($C107&lt;='Box Library'!$C$7,$D107&lt;='Box Library'!$D$7,$E107&lt;='Box Library'!$E$7,$F107&lt;='Box Library'!$F$7))</f>
        <v/>
      </c>
      <c r="L107" s="13">
        <f>IF('Product Data'!A107="","",AND($C107&lt;='Box Library'!$C$8,$D107&lt;='Box Library'!$D$8,$E107&lt;='Box Library'!$E$8,$F107&lt;='Box Library'!$F$8))</f>
        <v/>
      </c>
      <c r="M107" s="13">
        <f>IF('Product Data'!A107="","",IF(H107,'Box Library'!$A$4,IF(I107,'Box Library'!$A$5,IF(J107,'Box Library'!$A$6,IF(K107,'Box Library'!$A$7,IF(L107,'Box Library'!$A$8,"NO BOX FITS"))))))</f>
        <v/>
      </c>
      <c r="N107" s="15">
        <f>IF('Product Data'!A107="","",IF(H107,'Box Library'!$G$4,IF(I107,'Box Library'!$G$5,IF(J107,'Box Library'!$G$6,IF(K107,'Box Library'!$G$7,IF(L107,'Box Library'!$G$8,0))))))</f>
        <v/>
      </c>
      <c r="O107" s="16">
        <f>IF('Product Data'!A107="","",IF(M107="NO BOX FITS",0,G107/(IF(H107,'Box Library'!$H$4,IF(I107,'Box Library'!$H$5,IF(J107,'Box Library'!$H$6,IF(K107,'Box Library'!$H$7,'Box Library'!$H$8)))))))</f>
        <v/>
      </c>
      <c r="P107" s="6">
        <f>IF('Product Data'!A107="","",IF(M107="NO BOX FITS","REVIEW - NO STANDARD BOX FITS","OK"))</f>
        <v/>
      </c>
    </row>
    <row r="108">
      <c r="A108" s="13">
        <f>IF('Product Data'!A108="","",'Product Data'!A108)</f>
        <v/>
      </c>
      <c r="B108" s="13">
        <f>IF('Product Data'!A108="","",'Product Data'!B108)</f>
        <v/>
      </c>
      <c r="C108" s="14">
        <f>IF('Product Data'!A108="","",'Product Data'!C108)</f>
        <v/>
      </c>
      <c r="D108" s="14">
        <f>IF('Product Data'!A108="","",'Product Data'!D108)</f>
        <v/>
      </c>
      <c r="E108" s="14">
        <f>IF('Product Data'!A108="","",'Product Data'!E108)</f>
        <v/>
      </c>
      <c r="F108" s="14">
        <f>IF('Product Data'!A108="","",'Product Data'!F108)</f>
        <v/>
      </c>
      <c r="G108" s="9">
        <f>IF('Product Data'!A108="","",C108*D108*E108)</f>
        <v/>
      </c>
      <c r="H108" s="13">
        <f>IF('Product Data'!A108="","",AND($C108&lt;='Box Library'!$C$4,$D108&lt;='Box Library'!$D$4,$E108&lt;='Box Library'!$E$4,$F108&lt;='Box Library'!$F$4))</f>
        <v/>
      </c>
      <c r="I108" s="13">
        <f>IF('Product Data'!A108="","",AND($C108&lt;='Box Library'!$C$5,$D108&lt;='Box Library'!$D$5,$E108&lt;='Box Library'!$E$5,$F108&lt;='Box Library'!$F$5))</f>
        <v/>
      </c>
      <c r="J108" s="13">
        <f>IF('Product Data'!A108="","",AND($C108&lt;='Box Library'!$C$6,$D108&lt;='Box Library'!$D$6,$E108&lt;='Box Library'!$E$6,$F108&lt;='Box Library'!$F$6))</f>
        <v/>
      </c>
      <c r="K108" s="13">
        <f>IF('Product Data'!A108="","",AND($C108&lt;='Box Library'!$C$7,$D108&lt;='Box Library'!$D$7,$E108&lt;='Box Library'!$E$7,$F108&lt;='Box Library'!$F$7))</f>
        <v/>
      </c>
      <c r="L108" s="13">
        <f>IF('Product Data'!A108="","",AND($C108&lt;='Box Library'!$C$8,$D108&lt;='Box Library'!$D$8,$E108&lt;='Box Library'!$E$8,$F108&lt;='Box Library'!$F$8))</f>
        <v/>
      </c>
      <c r="M108" s="13">
        <f>IF('Product Data'!A108="","",IF(H108,'Box Library'!$A$4,IF(I108,'Box Library'!$A$5,IF(J108,'Box Library'!$A$6,IF(K108,'Box Library'!$A$7,IF(L108,'Box Library'!$A$8,"NO BOX FITS"))))))</f>
        <v/>
      </c>
      <c r="N108" s="15">
        <f>IF('Product Data'!A108="","",IF(H108,'Box Library'!$G$4,IF(I108,'Box Library'!$G$5,IF(J108,'Box Library'!$G$6,IF(K108,'Box Library'!$G$7,IF(L108,'Box Library'!$G$8,0))))))</f>
        <v/>
      </c>
      <c r="O108" s="16">
        <f>IF('Product Data'!A108="","",IF(M108="NO BOX FITS",0,G108/(IF(H108,'Box Library'!$H$4,IF(I108,'Box Library'!$H$5,IF(J108,'Box Library'!$H$6,IF(K108,'Box Library'!$H$7,'Box Library'!$H$8)))))))</f>
        <v/>
      </c>
      <c r="P108" s="6">
        <f>IF('Product Data'!A108="","",IF(M108="NO BOX FITS","REVIEW - NO STANDARD BOX FITS","OK"))</f>
        <v/>
      </c>
    </row>
    <row r="109">
      <c r="A109" s="13">
        <f>IF('Product Data'!A109="","",'Product Data'!A109)</f>
        <v/>
      </c>
      <c r="B109" s="13">
        <f>IF('Product Data'!A109="","",'Product Data'!B109)</f>
        <v/>
      </c>
      <c r="C109" s="14">
        <f>IF('Product Data'!A109="","",'Product Data'!C109)</f>
        <v/>
      </c>
      <c r="D109" s="14">
        <f>IF('Product Data'!A109="","",'Product Data'!D109)</f>
        <v/>
      </c>
      <c r="E109" s="14">
        <f>IF('Product Data'!A109="","",'Product Data'!E109)</f>
        <v/>
      </c>
      <c r="F109" s="14">
        <f>IF('Product Data'!A109="","",'Product Data'!F109)</f>
        <v/>
      </c>
      <c r="G109" s="9">
        <f>IF('Product Data'!A109="","",C109*D109*E109)</f>
        <v/>
      </c>
      <c r="H109" s="13">
        <f>IF('Product Data'!A109="","",AND($C109&lt;='Box Library'!$C$4,$D109&lt;='Box Library'!$D$4,$E109&lt;='Box Library'!$E$4,$F109&lt;='Box Library'!$F$4))</f>
        <v/>
      </c>
      <c r="I109" s="13">
        <f>IF('Product Data'!A109="","",AND($C109&lt;='Box Library'!$C$5,$D109&lt;='Box Library'!$D$5,$E109&lt;='Box Library'!$E$5,$F109&lt;='Box Library'!$F$5))</f>
        <v/>
      </c>
      <c r="J109" s="13">
        <f>IF('Product Data'!A109="","",AND($C109&lt;='Box Library'!$C$6,$D109&lt;='Box Library'!$D$6,$E109&lt;='Box Library'!$E$6,$F109&lt;='Box Library'!$F$6))</f>
        <v/>
      </c>
      <c r="K109" s="13">
        <f>IF('Product Data'!A109="","",AND($C109&lt;='Box Library'!$C$7,$D109&lt;='Box Library'!$D$7,$E109&lt;='Box Library'!$E$7,$F109&lt;='Box Library'!$F$7))</f>
        <v/>
      </c>
      <c r="L109" s="13">
        <f>IF('Product Data'!A109="","",AND($C109&lt;='Box Library'!$C$8,$D109&lt;='Box Library'!$D$8,$E109&lt;='Box Library'!$E$8,$F109&lt;='Box Library'!$F$8))</f>
        <v/>
      </c>
      <c r="M109" s="13">
        <f>IF('Product Data'!A109="","",IF(H109,'Box Library'!$A$4,IF(I109,'Box Library'!$A$5,IF(J109,'Box Library'!$A$6,IF(K109,'Box Library'!$A$7,IF(L109,'Box Library'!$A$8,"NO BOX FITS"))))))</f>
        <v/>
      </c>
      <c r="N109" s="15">
        <f>IF('Product Data'!A109="","",IF(H109,'Box Library'!$G$4,IF(I109,'Box Library'!$G$5,IF(J109,'Box Library'!$G$6,IF(K109,'Box Library'!$G$7,IF(L109,'Box Library'!$G$8,0))))))</f>
        <v/>
      </c>
      <c r="O109" s="16">
        <f>IF('Product Data'!A109="","",IF(M109="NO BOX FITS",0,G109/(IF(H109,'Box Library'!$H$4,IF(I109,'Box Library'!$H$5,IF(J109,'Box Library'!$H$6,IF(K109,'Box Library'!$H$7,'Box Library'!$H$8)))))))</f>
        <v/>
      </c>
      <c r="P109" s="6">
        <f>IF('Product Data'!A109="","",IF(M109="NO BOX FITS","REVIEW - NO STANDARD BOX FITS","OK"))</f>
        <v/>
      </c>
    </row>
    <row r="110">
      <c r="A110" s="13">
        <f>IF('Product Data'!A110="","",'Product Data'!A110)</f>
        <v/>
      </c>
      <c r="B110" s="13">
        <f>IF('Product Data'!A110="","",'Product Data'!B110)</f>
        <v/>
      </c>
      <c r="C110" s="14">
        <f>IF('Product Data'!A110="","",'Product Data'!C110)</f>
        <v/>
      </c>
      <c r="D110" s="14">
        <f>IF('Product Data'!A110="","",'Product Data'!D110)</f>
        <v/>
      </c>
      <c r="E110" s="14">
        <f>IF('Product Data'!A110="","",'Product Data'!E110)</f>
        <v/>
      </c>
      <c r="F110" s="14">
        <f>IF('Product Data'!A110="","",'Product Data'!F110)</f>
        <v/>
      </c>
      <c r="G110" s="9">
        <f>IF('Product Data'!A110="","",C110*D110*E110)</f>
        <v/>
      </c>
      <c r="H110" s="13">
        <f>IF('Product Data'!A110="","",AND($C110&lt;='Box Library'!$C$4,$D110&lt;='Box Library'!$D$4,$E110&lt;='Box Library'!$E$4,$F110&lt;='Box Library'!$F$4))</f>
        <v/>
      </c>
      <c r="I110" s="13">
        <f>IF('Product Data'!A110="","",AND($C110&lt;='Box Library'!$C$5,$D110&lt;='Box Library'!$D$5,$E110&lt;='Box Library'!$E$5,$F110&lt;='Box Library'!$F$5))</f>
        <v/>
      </c>
      <c r="J110" s="13">
        <f>IF('Product Data'!A110="","",AND($C110&lt;='Box Library'!$C$6,$D110&lt;='Box Library'!$D$6,$E110&lt;='Box Library'!$E$6,$F110&lt;='Box Library'!$F$6))</f>
        <v/>
      </c>
      <c r="K110" s="13">
        <f>IF('Product Data'!A110="","",AND($C110&lt;='Box Library'!$C$7,$D110&lt;='Box Library'!$D$7,$E110&lt;='Box Library'!$E$7,$F110&lt;='Box Library'!$F$7))</f>
        <v/>
      </c>
      <c r="L110" s="13">
        <f>IF('Product Data'!A110="","",AND($C110&lt;='Box Library'!$C$8,$D110&lt;='Box Library'!$D$8,$E110&lt;='Box Library'!$E$8,$F110&lt;='Box Library'!$F$8))</f>
        <v/>
      </c>
      <c r="M110" s="13">
        <f>IF('Product Data'!A110="","",IF(H110,'Box Library'!$A$4,IF(I110,'Box Library'!$A$5,IF(J110,'Box Library'!$A$6,IF(K110,'Box Library'!$A$7,IF(L110,'Box Library'!$A$8,"NO BOX FITS"))))))</f>
        <v/>
      </c>
      <c r="N110" s="15">
        <f>IF('Product Data'!A110="","",IF(H110,'Box Library'!$G$4,IF(I110,'Box Library'!$G$5,IF(J110,'Box Library'!$G$6,IF(K110,'Box Library'!$G$7,IF(L110,'Box Library'!$G$8,0))))))</f>
        <v/>
      </c>
      <c r="O110" s="16">
        <f>IF('Product Data'!A110="","",IF(M110="NO BOX FITS",0,G110/(IF(H110,'Box Library'!$H$4,IF(I110,'Box Library'!$H$5,IF(J110,'Box Library'!$H$6,IF(K110,'Box Library'!$H$7,'Box Library'!$H$8)))))))</f>
        <v/>
      </c>
      <c r="P110" s="6">
        <f>IF('Product Data'!A110="","",IF(M110="NO BOX FITS","REVIEW - NO STANDARD BOX FITS","OK"))</f>
        <v/>
      </c>
    </row>
    <row r="111">
      <c r="A111" s="13">
        <f>IF('Product Data'!A111="","",'Product Data'!A111)</f>
        <v/>
      </c>
      <c r="B111" s="13">
        <f>IF('Product Data'!A111="","",'Product Data'!B111)</f>
        <v/>
      </c>
      <c r="C111" s="14">
        <f>IF('Product Data'!A111="","",'Product Data'!C111)</f>
        <v/>
      </c>
      <c r="D111" s="14">
        <f>IF('Product Data'!A111="","",'Product Data'!D111)</f>
        <v/>
      </c>
      <c r="E111" s="14">
        <f>IF('Product Data'!A111="","",'Product Data'!E111)</f>
        <v/>
      </c>
      <c r="F111" s="14">
        <f>IF('Product Data'!A111="","",'Product Data'!F111)</f>
        <v/>
      </c>
      <c r="G111" s="9">
        <f>IF('Product Data'!A111="","",C111*D111*E111)</f>
        <v/>
      </c>
      <c r="H111" s="13">
        <f>IF('Product Data'!A111="","",AND($C111&lt;='Box Library'!$C$4,$D111&lt;='Box Library'!$D$4,$E111&lt;='Box Library'!$E$4,$F111&lt;='Box Library'!$F$4))</f>
        <v/>
      </c>
      <c r="I111" s="13">
        <f>IF('Product Data'!A111="","",AND($C111&lt;='Box Library'!$C$5,$D111&lt;='Box Library'!$D$5,$E111&lt;='Box Library'!$E$5,$F111&lt;='Box Library'!$F$5))</f>
        <v/>
      </c>
      <c r="J111" s="13">
        <f>IF('Product Data'!A111="","",AND($C111&lt;='Box Library'!$C$6,$D111&lt;='Box Library'!$D$6,$E111&lt;='Box Library'!$E$6,$F111&lt;='Box Library'!$F$6))</f>
        <v/>
      </c>
      <c r="K111" s="13">
        <f>IF('Product Data'!A111="","",AND($C111&lt;='Box Library'!$C$7,$D111&lt;='Box Library'!$D$7,$E111&lt;='Box Library'!$E$7,$F111&lt;='Box Library'!$F$7))</f>
        <v/>
      </c>
      <c r="L111" s="13">
        <f>IF('Product Data'!A111="","",AND($C111&lt;='Box Library'!$C$8,$D111&lt;='Box Library'!$D$8,$E111&lt;='Box Library'!$E$8,$F111&lt;='Box Library'!$F$8))</f>
        <v/>
      </c>
      <c r="M111" s="13">
        <f>IF('Product Data'!A111="","",IF(H111,'Box Library'!$A$4,IF(I111,'Box Library'!$A$5,IF(J111,'Box Library'!$A$6,IF(K111,'Box Library'!$A$7,IF(L111,'Box Library'!$A$8,"NO BOX FITS"))))))</f>
        <v/>
      </c>
      <c r="N111" s="15">
        <f>IF('Product Data'!A111="","",IF(H111,'Box Library'!$G$4,IF(I111,'Box Library'!$G$5,IF(J111,'Box Library'!$G$6,IF(K111,'Box Library'!$G$7,IF(L111,'Box Library'!$G$8,0))))))</f>
        <v/>
      </c>
      <c r="O111" s="16">
        <f>IF('Product Data'!A111="","",IF(M111="NO BOX FITS",0,G111/(IF(H111,'Box Library'!$H$4,IF(I111,'Box Library'!$H$5,IF(J111,'Box Library'!$H$6,IF(K111,'Box Library'!$H$7,'Box Library'!$H$8)))))))</f>
        <v/>
      </c>
      <c r="P111" s="6">
        <f>IF('Product Data'!A111="","",IF(M111="NO BOX FITS","REVIEW - NO STANDARD BOX FITS","OK"))</f>
        <v/>
      </c>
    </row>
    <row r="112">
      <c r="A112" s="13">
        <f>IF('Product Data'!A112="","",'Product Data'!A112)</f>
        <v/>
      </c>
      <c r="B112" s="13">
        <f>IF('Product Data'!A112="","",'Product Data'!B112)</f>
        <v/>
      </c>
      <c r="C112" s="14">
        <f>IF('Product Data'!A112="","",'Product Data'!C112)</f>
        <v/>
      </c>
      <c r="D112" s="14">
        <f>IF('Product Data'!A112="","",'Product Data'!D112)</f>
        <v/>
      </c>
      <c r="E112" s="14">
        <f>IF('Product Data'!A112="","",'Product Data'!E112)</f>
        <v/>
      </c>
      <c r="F112" s="14">
        <f>IF('Product Data'!A112="","",'Product Data'!F112)</f>
        <v/>
      </c>
      <c r="G112" s="9">
        <f>IF('Product Data'!A112="","",C112*D112*E112)</f>
        <v/>
      </c>
      <c r="H112" s="13">
        <f>IF('Product Data'!A112="","",AND($C112&lt;='Box Library'!$C$4,$D112&lt;='Box Library'!$D$4,$E112&lt;='Box Library'!$E$4,$F112&lt;='Box Library'!$F$4))</f>
        <v/>
      </c>
      <c r="I112" s="13">
        <f>IF('Product Data'!A112="","",AND($C112&lt;='Box Library'!$C$5,$D112&lt;='Box Library'!$D$5,$E112&lt;='Box Library'!$E$5,$F112&lt;='Box Library'!$F$5))</f>
        <v/>
      </c>
      <c r="J112" s="13">
        <f>IF('Product Data'!A112="","",AND($C112&lt;='Box Library'!$C$6,$D112&lt;='Box Library'!$D$6,$E112&lt;='Box Library'!$E$6,$F112&lt;='Box Library'!$F$6))</f>
        <v/>
      </c>
      <c r="K112" s="13">
        <f>IF('Product Data'!A112="","",AND($C112&lt;='Box Library'!$C$7,$D112&lt;='Box Library'!$D$7,$E112&lt;='Box Library'!$E$7,$F112&lt;='Box Library'!$F$7))</f>
        <v/>
      </c>
      <c r="L112" s="13">
        <f>IF('Product Data'!A112="","",AND($C112&lt;='Box Library'!$C$8,$D112&lt;='Box Library'!$D$8,$E112&lt;='Box Library'!$E$8,$F112&lt;='Box Library'!$F$8))</f>
        <v/>
      </c>
      <c r="M112" s="13">
        <f>IF('Product Data'!A112="","",IF(H112,'Box Library'!$A$4,IF(I112,'Box Library'!$A$5,IF(J112,'Box Library'!$A$6,IF(K112,'Box Library'!$A$7,IF(L112,'Box Library'!$A$8,"NO BOX FITS"))))))</f>
        <v/>
      </c>
      <c r="N112" s="15">
        <f>IF('Product Data'!A112="","",IF(H112,'Box Library'!$G$4,IF(I112,'Box Library'!$G$5,IF(J112,'Box Library'!$G$6,IF(K112,'Box Library'!$G$7,IF(L112,'Box Library'!$G$8,0))))))</f>
        <v/>
      </c>
      <c r="O112" s="16">
        <f>IF('Product Data'!A112="","",IF(M112="NO BOX FITS",0,G112/(IF(H112,'Box Library'!$H$4,IF(I112,'Box Library'!$H$5,IF(J112,'Box Library'!$H$6,IF(K112,'Box Library'!$H$7,'Box Library'!$H$8)))))))</f>
        <v/>
      </c>
      <c r="P112" s="6">
        <f>IF('Product Data'!A112="","",IF(M112="NO BOX FITS","REVIEW - NO STANDARD BOX FITS","OK"))</f>
        <v/>
      </c>
    </row>
    <row r="113">
      <c r="A113" s="13">
        <f>IF('Product Data'!A113="","",'Product Data'!A113)</f>
        <v/>
      </c>
      <c r="B113" s="13">
        <f>IF('Product Data'!A113="","",'Product Data'!B113)</f>
        <v/>
      </c>
      <c r="C113" s="14">
        <f>IF('Product Data'!A113="","",'Product Data'!C113)</f>
        <v/>
      </c>
      <c r="D113" s="14">
        <f>IF('Product Data'!A113="","",'Product Data'!D113)</f>
        <v/>
      </c>
      <c r="E113" s="14">
        <f>IF('Product Data'!A113="","",'Product Data'!E113)</f>
        <v/>
      </c>
      <c r="F113" s="14">
        <f>IF('Product Data'!A113="","",'Product Data'!F113)</f>
        <v/>
      </c>
      <c r="G113" s="9">
        <f>IF('Product Data'!A113="","",C113*D113*E113)</f>
        <v/>
      </c>
      <c r="H113" s="13">
        <f>IF('Product Data'!A113="","",AND($C113&lt;='Box Library'!$C$4,$D113&lt;='Box Library'!$D$4,$E113&lt;='Box Library'!$E$4,$F113&lt;='Box Library'!$F$4))</f>
        <v/>
      </c>
      <c r="I113" s="13">
        <f>IF('Product Data'!A113="","",AND($C113&lt;='Box Library'!$C$5,$D113&lt;='Box Library'!$D$5,$E113&lt;='Box Library'!$E$5,$F113&lt;='Box Library'!$F$5))</f>
        <v/>
      </c>
      <c r="J113" s="13">
        <f>IF('Product Data'!A113="","",AND($C113&lt;='Box Library'!$C$6,$D113&lt;='Box Library'!$D$6,$E113&lt;='Box Library'!$E$6,$F113&lt;='Box Library'!$F$6))</f>
        <v/>
      </c>
      <c r="K113" s="13">
        <f>IF('Product Data'!A113="","",AND($C113&lt;='Box Library'!$C$7,$D113&lt;='Box Library'!$D$7,$E113&lt;='Box Library'!$E$7,$F113&lt;='Box Library'!$F$7))</f>
        <v/>
      </c>
      <c r="L113" s="13">
        <f>IF('Product Data'!A113="","",AND($C113&lt;='Box Library'!$C$8,$D113&lt;='Box Library'!$D$8,$E113&lt;='Box Library'!$E$8,$F113&lt;='Box Library'!$F$8))</f>
        <v/>
      </c>
      <c r="M113" s="13">
        <f>IF('Product Data'!A113="","",IF(H113,'Box Library'!$A$4,IF(I113,'Box Library'!$A$5,IF(J113,'Box Library'!$A$6,IF(K113,'Box Library'!$A$7,IF(L113,'Box Library'!$A$8,"NO BOX FITS"))))))</f>
        <v/>
      </c>
      <c r="N113" s="15">
        <f>IF('Product Data'!A113="","",IF(H113,'Box Library'!$G$4,IF(I113,'Box Library'!$G$5,IF(J113,'Box Library'!$G$6,IF(K113,'Box Library'!$G$7,IF(L113,'Box Library'!$G$8,0))))))</f>
        <v/>
      </c>
      <c r="O113" s="16">
        <f>IF('Product Data'!A113="","",IF(M113="NO BOX FITS",0,G113/(IF(H113,'Box Library'!$H$4,IF(I113,'Box Library'!$H$5,IF(J113,'Box Library'!$H$6,IF(K113,'Box Library'!$H$7,'Box Library'!$H$8)))))))</f>
        <v/>
      </c>
      <c r="P113" s="6">
        <f>IF('Product Data'!A113="","",IF(M113="NO BOX FITS","REVIEW - NO STANDARD BOX FITS","OK"))</f>
        <v/>
      </c>
    </row>
    <row r="114">
      <c r="A114" s="13">
        <f>IF('Product Data'!A114="","",'Product Data'!A114)</f>
        <v/>
      </c>
      <c r="B114" s="13">
        <f>IF('Product Data'!A114="","",'Product Data'!B114)</f>
        <v/>
      </c>
      <c r="C114" s="14">
        <f>IF('Product Data'!A114="","",'Product Data'!C114)</f>
        <v/>
      </c>
      <c r="D114" s="14">
        <f>IF('Product Data'!A114="","",'Product Data'!D114)</f>
        <v/>
      </c>
      <c r="E114" s="14">
        <f>IF('Product Data'!A114="","",'Product Data'!E114)</f>
        <v/>
      </c>
      <c r="F114" s="14">
        <f>IF('Product Data'!A114="","",'Product Data'!F114)</f>
        <v/>
      </c>
      <c r="G114" s="9">
        <f>IF('Product Data'!A114="","",C114*D114*E114)</f>
        <v/>
      </c>
      <c r="H114" s="13">
        <f>IF('Product Data'!A114="","",AND($C114&lt;='Box Library'!$C$4,$D114&lt;='Box Library'!$D$4,$E114&lt;='Box Library'!$E$4,$F114&lt;='Box Library'!$F$4))</f>
        <v/>
      </c>
      <c r="I114" s="13">
        <f>IF('Product Data'!A114="","",AND($C114&lt;='Box Library'!$C$5,$D114&lt;='Box Library'!$D$5,$E114&lt;='Box Library'!$E$5,$F114&lt;='Box Library'!$F$5))</f>
        <v/>
      </c>
      <c r="J114" s="13">
        <f>IF('Product Data'!A114="","",AND($C114&lt;='Box Library'!$C$6,$D114&lt;='Box Library'!$D$6,$E114&lt;='Box Library'!$E$6,$F114&lt;='Box Library'!$F$6))</f>
        <v/>
      </c>
      <c r="K114" s="13">
        <f>IF('Product Data'!A114="","",AND($C114&lt;='Box Library'!$C$7,$D114&lt;='Box Library'!$D$7,$E114&lt;='Box Library'!$E$7,$F114&lt;='Box Library'!$F$7))</f>
        <v/>
      </c>
      <c r="L114" s="13">
        <f>IF('Product Data'!A114="","",AND($C114&lt;='Box Library'!$C$8,$D114&lt;='Box Library'!$D$8,$E114&lt;='Box Library'!$E$8,$F114&lt;='Box Library'!$F$8))</f>
        <v/>
      </c>
      <c r="M114" s="13">
        <f>IF('Product Data'!A114="","",IF(H114,'Box Library'!$A$4,IF(I114,'Box Library'!$A$5,IF(J114,'Box Library'!$A$6,IF(K114,'Box Library'!$A$7,IF(L114,'Box Library'!$A$8,"NO BOX FITS"))))))</f>
        <v/>
      </c>
      <c r="N114" s="15">
        <f>IF('Product Data'!A114="","",IF(H114,'Box Library'!$G$4,IF(I114,'Box Library'!$G$5,IF(J114,'Box Library'!$G$6,IF(K114,'Box Library'!$G$7,IF(L114,'Box Library'!$G$8,0))))))</f>
        <v/>
      </c>
      <c r="O114" s="16">
        <f>IF('Product Data'!A114="","",IF(M114="NO BOX FITS",0,G114/(IF(H114,'Box Library'!$H$4,IF(I114,'Box Library'!$H$5,IF(J114,'Box Library'!$H$6,IF(K114,'Box Library'!$H$7,'Box Library'!$H$8)))))))</f>
        <v/>
      </c>
      <c r="P114" s="6">
        <f>IF('Product Data'!A114="","",IF(M114="NO BOX FITS","REVIEW - NO STANDARD BOX FITS","OK"))</f>
        <v/>
      </c>
    </row>
    <row r="115">
      <c r="A115" s="13">
        <f>IF('Product Data'!A115="","",'Product Data'!A115)</f>
        <v/>
      </c>
      <c r="B115" s="13">
        <f>IF('Product Data'!A115="","",'Product Data'!B115)</f>
        <v/>
      </c>
      <c r="C115" s="14">
        <f>IF('Product Data'!A115="","",'Product Data'!C115)</f>
        <v/>
      </c>
      <c r="D115" s="14">
        <f>IF('Product Data'!A115="","",'Product Data'!D115)</f>
        <v/>
      </c>
      <c r="E115" s="14">
        <f>IF('Product Data'!A115="","",'Product Data'!E115)</f>
        <v/>
      </c>
      <c r="F115" s="14">
        <f>IF('Product Data'!A115="","",'Product Data'!F115)</f>
        <v/>
      </c>
      <c r="G115" s="9">
        <f>IF('Product Data'!A115="","",C115*D115*E115)</f>
        <v/>
      </c>
      <c r="H115" s="13">
        <f>IF('Product Data'!A115="","",AND($C115&lt;='Box Library'!$C$4,$D115&lt;='Box Library'!$D$4,$E115&lt;='Box Library'!$E$4,$F115&lt;='Box Library'!$F$4))</f>
        <v/>
      </c>
      <c r="I115" s="13">
        <f>IF('Product Data'!A115="","",AND($C115&lt;='Box Library'!$C$5,$D115&lt;='Box Library'!$D$5,$E115&lt;='Box Library'!$E$5,$F115&lt;='Box Library'!$F$5))</f>
        <v/>
      </c>
      <c r="J115" s="13">
        <f>IF('Product Data'!A115="","",AND($C115&lt;='Box Library'!$C$6,$D115&lt;='Box Library'!$D$6,$E115&lt;='Box Library'!$E$6,$F115&lt;='Box Library'!$F$6))</f>
        <v/>
      </c>
      <c r="K115" s="13">
        <f>IF('Product Data'!A115="","",AND($C115&lt;='Box Library'!$C$7,$D115&lt;='Box Library'!$D$7,$E115&lt;='Box Library'!$E$7,$F115&lt;='Box Library'!$F$7))</f>
        <v/>
      </c>
      <c r="L115" s="13">
        <f>IF('Product Data'!A115="","",AND($C115&lt;='Box Library'!$C$8,$D115&lt;='Box Library'!$D$8,$E115&lt;='Box Library'!$E$8,$F115&lt;='Box Library'!$F$8))</f>
        <v/>
      </c>
      <c r="M115" s="13">
        <f>IF('Product Data'!A115="","",IF(H115,'Box Library'!$A$4,IF(I115,'Box Library'!$A$5,IF(J115,'Box Library'!$A$6,IF(K115,'Box Library'!$A$7,IF(L115,'Box Library'!$A$8,"NO BOX FITS"))))))</f>
        <v/>
      </c>
      <c r="N115" s="15">
        <f>IF('Product Data'!A115="","",IF(H115,'Box Library'!$G$4,IF(I115,'Box Library'!$G$5,IF(J115,'Box Library'!$G$6,IF(K115,'Box Library'!$G$7,IF(L115,'Box Library'!$G$8,0))))))</f>
        <v/>
      </c>
      <c r="O115" s="16">
        <f>IF('Product Data'!A115="","",IF(M115="NO BOX FITS",0,G115/(IF(H115,'Box Library'!$H$4,IF(I115,'Box Library'!$H$5,IF(J115,'Box Library'!$H$6,IF(K115,'Box Library'!$H$7,'Box Library'!$H$8)))))))</f>
        <v/>
      </c>
      <c r="P115" s="6">
        <f>IF('Product Data'!A115="","",IF(M115="NO BOX FITS","REVIEW - NO STANDARD BOX FITS","OK"))</f>
        <v/>
      </c>
    </row>
    <row r="116">
      <c r="A116" s="13">
        <f>IF('Product Data'!A116="","",'Product Data'!A116)</f>
        <v/>
      </c>
      <c r="B116" s="13">
        <f>IF('Product Data'!A116="","",'Product Data'!B116)</f>
        <v/>
      </c>
      <c r="C116" s="14">
        <f>IF('Product Data'!A116="","",'Product Data'!C116)</f>
        <v/>
      </c>
      <c r="D116" s="14">
        <f>IF('Product Data'!A116="","",'Product Data'!D116)</f>
        <v/>
      </c>
      <c r="E116" s="14">
        <f>IF('Product Data'!A116="","",'Product Data'!E116)</f>
        <v/>
      </c>
      <c r="F116" s="14">
        <f>IF('Product Data'!A116="","",'Product Data'!F116)</f>
        <v/>
      </c>
      <c r="G116" s="9">
        <f>IF('Product Data'!A116="","",C116*D116*E116)</f>
        <v/>
      </c>
      <c r="H116" s="13">
        <f>IF('Product Data'!A116="","",AND($C116&lt;='Box Library'!$C$4,$D116&lt;='Box Library'!$D$4,$E116&lt;='Box Library'!$E$4,$F116&lt;='Box Library'!$F$4))</f>
        <v/>
      </c>
      <c r="I116" s="13">
        <f>IF('Product Data'!A116="","",AND($C116&lt;='Box Library'!$C$5,$D116&lt;='Box Library'!$D$5,$E116&lt;='Box Library'!$E$5,$F116&lt;='Box Library'!$F$5))</f>
        <v/>
      </c>
      <c r="J116" s="13">
        <f>IF('Product Data'!A116="","",AND($C116&lt;='Box Library'!$C$6,$D116&lt;='Box Library'!$D$6,$E116&lt;='Box Library'!$E$6,$F116&lt;='Box Library'!$F$6))</f>
        <v/>
      </c>
      <c r="K116" s="13">
        <f>IF('Product Data'!A116="","",AND($C116&lt;='Box Library'!$C$7,$D116&lt;='Box Library'!$D$7,$E116&lt;='Box Library'!$E$7,$F116&lt;='Box Library'!$F$7))</f>
        <v/>
      </c>
      <c r="L116" s="13">
        <f>IF('Product Data'!A116="","",AND($C116&lt;='Box Library'!$C$8,$D116&lt;='Box Library'!$D$8,$E116&lt;='Box Library'!$E$8,$F116&lt;='Box Library'!$F$8))</f>
        <v/>
      </c>
      <c r="M116" s="13">
        <f>IF('Product Data'!A116="","",IF(H116,'Box Library'!$A$4,IF(I116,'Box Library'!$A$5,IF(J116,'Box Library'!$A$6,IF(K116,'Box Library'!$A$7,IF(L116,'Box Library'!$A$8,"NO BOX FITS"))))))</f>
        <v/>
      </c>
      <c r="N116" s="15">
        <f>IF('Product Data'!A116="","",IF(H116,'Box Library'!$G$4,IF(I116,'Box Library'!$G$5,IF(J116,'Box Library'!$G$6,IF(K116,'Box Library'!$G$7,IF(L116,'Box Library'!$G$8,0))))))</f>
        <v/>
      </c>
      <c r="O116" s="16">
        <f>IF('Product Data'!A116="","",IF(M116="NO BOX FITS",0,G116/(IF(H116,'Box Library'!$H$4,IF(I116,'Box Library'!$H$5,IF(J116,'Box Library'!$H$6,IF(K116,'Box Library'!$H$7,'Box Library'!$H$8)))))))</f>
        <v/>
      </c>
      <c r="P116" s="6">
        <f>IF('Product Data'!A116="","",IF(M116="NO BOX FITS","REVIEW - NO STANDARD BOX FITS","OK"))</f>
        <v/>
      </c>
    </row>
    <row r="117">
      <c r="A117" s="13">
        <f>IF('Product Data'!A117="","",'Product Data'!A117)</f>
        <v/>
      </c>
      <c r="B117" s="13">
        <f>IF('Product Data'!A117="","",'Product Data'!B117)</f>
        <v/>
      </c>
      <c r="C117" s="14">
        <f>IF('Product Data'!A117="","",'Product Data'!C117)</f>
        <v/>
      </c>
      <c r="D117" s="14">
        <f>IF('Product Data'!A117="","",'Product Data'!D117)</f>
        <v/>
      </c>
      <c r="E117" s="14">
        <f>IF('Product Data'!A117="","",'Product Data'!E117)</f>
        <v/>
      </c>
      <c r="F117" s="14">
        <f>IF('Product Data'!A117="","",'Product Data'!F117)</f>
        <v/>
      </c>
      <c r="G117" s="9">
        <f>IF('Product Data'!A117="","",C117*D117*E117)</f>
        <v/>
      </c>
      <c r="H117" s="13">
        <f>IF('Product Data'!A117="","",AND($C117&lt;='Box Library'!$C$4,$D117&lt;='Box Library'!$D$4,$E117&lt;='Box Library'!$E$4,$F117&lt;='Box Library'!$F$4))</f>
        <v/>
      </c>
      <c r="I117" s="13">
        <f>IF('Product Data'!A117="","",AND($C117&lt;='Box Library'!$C$5,$D117&lt;='Box Library'!$D$5,$E117&lt;='Box Library'!$E$5,$F117&lt;='Box Library'!$F$5))</f>
        <v/>
      </c>
      <c r="J117" s="13">
        <f>IF('Product Data'!A117="","",AND($C117&lt;='Box Library'!$C$6,$D117&lt;='Box Library'!$D$6,$E117&lt;='Box Library'!$E$6,$F117&lt;='Box Library'!$F$6))</f>
        <v/>
      </c>
      <c r="K117" s="13">
        <f>IF('Product Data'!A117="","",AND($C117&lt;='Box Library'!$C$7,$D117&lt;='Box Library'!$D$7,$E117&lt;='Box Library'!$E$7,$F117&lt;='Box Library'!$F$7))</f>
        <v/>
      </c>
      <c r="L117" s="13">
        <f>IF('Product Data'!A117="","",AND($C117&lt;='Box Library'!$C$8,$D117&lt;='Box Library'!$D$8,$E117&lt;='Box Library'!$E$8,$F117&lt;='Box Library'!$F$8))</f>
        <v/>
      </c>
      <c r="M117" s="13">
        <f>IF('Product Data'!A117="","",IF(H117,'Box Library'!$A$4,IF(I117,'Box Library'!$A$5,IF(J117,'Box Library'!$A$6,IF(K117,'Box Library'!$A$7,IF(L117,'Box Library'!$A$8,"NO BOX FITS"))))))</f>
        <v/>
      </c>
      <c r="N117" s="15">
        <f>IF('Product Data'!A117="","",IF(H117,'Box Library'!$G$4,IF(I117,'Box Library'!$G$5,IF(J117,'Box Library'!$G$6,IF(K117,'Box Library'!$G$7,IF(L117,'Box Library'!$G$8,0))))))</f>
        <v/>
      </c>
      <c r="O117" s="16">
        <f>IF('Product Data'!A117="","",IF(M117="NO BOX FITS",0,G117/(IF(H117,'Box Library'!$H$4,IF(I117,'Box Library'!$H$5,IF(J117,'Box Library'!$H$6,IF(K117,'Box Library'!$H$7,'Box Library'!$H$8)))))))</f>
        <v/>
      </c>
      <c r="P117" s="6">
        <f>IF('Product Data'!A117="","",IF(M117="NO BOX FITS","REVIEW - NO STANDARD BOX FITS","OK"))</f>
        <v/>
      </c>
    </row>
    <row r="118">
      <c r="A118" s="13">
        <f>IF('Product Data'!A118="","",'Product Data'!A118)</f>
        <v/>
      </c>
      <c r="B118" s="13">
        <f>IF('Product Data'!A118="","",'Product Data'!B118)</f>
        <v/>
      </c>
      <c r="C118" s="14">
        <f>IF('Product Data'!A118="","",'Product Data'!C118)</f>
        <v/>
      </c>
      <c r="D118" s="14">
        <f>IF('Product Data'!A118="","",'Product Data'!D118)</f>
        <v/>
      </c>
      <c r="E118" s="14">
        <f>IF('Product Data'!A118="","",'Product Data'!E118)</f>
        <v/>
      </c>
      <c r="F118" s="14">
        <f>IF('Product Data'!A118="","",'Product Data'!F118)</f>
        <v/>
      </c>
      <c r="G118" s="9">
        <f>IF('Product Data'!A118="","",C118*D118*E118)</f>
        <v/>
      </c>
      <c r="H118" s="13">
        <f>IF('Product Data'!A118="","",AND($C118&lt;='Box Library'!$C$4,$D118&lt;='Box Library'!$D$4,$E118&lt;='Box Library'!$E$4,$F118&lt;='Box Library'!$F$4))</f>
        <v/>
      </c>
      <c r="I118" s="13">
        <f>IF('Product Data'!A118="","",AND($C118&lt;='Box Library'!$C$5,$D118&lt;='Box Library'!$D$5,$E118&lt;='Box Library'!$E$5,$F118&lt;='Box Library'!$F$5))</f>
        <v/>
      </c>
      <c r="J118" s="13">
        <f>IF('Product Data'!A118="","",AND($C118&lt;='Box Library'!$C$6,$D118&lt;='Box Library'!$D$6,$E118&lt;='Box Library'!$E$6,$F118&lt;='Box Library'!$F$6))</f>
        <v/>
      </c>
      <c r="K118" s="13">
        <f>IF('Product Data'!A118="","",AND($C118&lt;='Box Library'!$C$7,$D118&lt;='Box Library'!$D$7,$E118&lt;='Box Library'!$E$7,$F118&lt;='Box Library'!$F$7))</f>
        <v/>
      </c>
      <c r="L118" s="13">
        <f>IF('Product Data'!A118="","",AND($C118&lt;='Box Library'!$C$8,$D118&lt;='Box Library'!$D$8,$E118&lt;='Box Library'!$E$8,$F118&lt;='Box Library'!$F$8))</f>
        <v/>
      </c>
      <c r="M118" s="13">
        <f>IF('Product Data'!A118="","",IF(H118,'Box Library'!$A$4,IF(I118,'Box Library'!$A$5,IF(J118,'Box Library'!$A$6,IF(K118,'Box Library'!$A$7,IF(L118,'Box Library'!$A$8,"NO BOX FITS"))))))</f>
        <v/>
      </c>
      <c r="N118" s="15">
        <f>IF('Product Data'!A118="","",IF(H118,'Box Library'!$G$4,IF(I118,'Box Library'!$G$5,IF(J118,'Box Library'!$G$6,IF(K118,'Box Library'!$G$7,IF(L118,'Box Library'!$G$8,0))))))</f>
        <v/>
      </c>
      <c r="O118" s="16">
        <f>IF('Product Data'!A118="","",IF(M118="NO BOX FITS",0,G118/(IF(H118,'Box Library'!$H$4,IF(I118,'Box Library'!$H$5,IF(J118,'Box Library'!$H$6,IF(K118,'Box Library'!$H$7,'Box Library'!$H$8)))))))</f>
        <v/>
      </c>
      <c r="P118" s="6">
        <f>IF('Product Data'!A118="","",IF(M118="NO BOX FITS","REVIEW - NO STANDARD BOX FITS","OK"))</f>
        <v/>
      </c>
    </row>
    <row r="119">
      <c r="A119" s="13">
        <f>IF('Product Data'!A119="","",'Product Data'!A119)</f>
        <v/>
      </c>
      <c r="B119" s="13">
        <f>IF('Product Data'!A119="","",'Product Data'!B119)</f>
        <v/>
      </c>
      <c r="C119" s="14">
        <f>IF('Product Data'!A119="","",'Product Data'!C119)</f>
        <v/>
      </c>
      <c r="D119" s="14">
        <f>IF('Product Data'!A119="","",'Product Data'!D119)</f>
        <v/>
      </c>
      <c r="E119" s="14">
        <f>IF('Product Data'!A119="","",'Product Data'!E119)</f>
        <v/>
      </c>
      <c r="F119" s="14">
        <f>IF('Product Data'!A119="","",'Product Data'!F119)</f>
        <v/>
      </c>
      <c r="G119" s="9">
        <f>IF('Product Data'!A119="","",C119*D119*E119)</f>
        <v/>
      </c>
      <c r="H119" s="13">
        <f>IF('Product Data'!A119="","",AND($C119&lt;='Box Library'!$C$4,$D119&lt;='Box Library'!$D$4,$E119&lt;='Box Library'!$E$4,$F119&lt;='Box Library'!$F$4))</f>
        <v/>
      </c>
      <c r="I119" s="13">
        <f>IF('Product Data'!A119="","",AND($C119&lt;='Box Library'!$C$5,$D119&lt;='Box Library'!$D$5,$E119&lt;='Box Library'!$E$5,$F119&lt;='Box Library'!$F$5))</f>
        <v/>
      </c>
      <c r="J119" s="13">
        <f>IF('Product Data'!A119="","",AND($C119&lt;='Box Library'!$C$6,$D119&lt;='Box Library'!$D$6,$E119&lt;='Box Library'!$E$6,$F119&lt;='Box Library'!$F$6))</f>
        <v/>
      </c>
      <c r="K119" s="13">
        <f>IF('Product Data'!A119="","",AND($C119&lt;='Box Library'!$C$7,$D119&lt;='Box Library'!$D$7,$E119&lt;='Box Library'!$E$7,$F119&lt;='Box Library'!$F$7))</f>
        <v/>
      </c>
      <c r="L119" s="13">
        <f>IF('Product Data'!A119="","",AND($C119&lt;='Box Library'!$C$8,$D119&lt;='Box Library'!$D$8,$E119&lt;='Box Library'!$E$8,$F119&lt;='Box Library'!$F$8))</f>
        <v/>
      </c>
      <c r="M119" s="13">
        <f>IF('Product Data'!A119="","",IF(H119,'Box Library'!$A$4,IF(I119,'Box Library'!$A$5,IF(J119,'Box Library'!$A$6,IF(K119,'Box Library'!$A$7,IF(L119,'Box Library'!$A$8,"NO BOX FITS"))))))</f>
        <v/>
      </c>
      <c r="N119" s="15">
        <f>IF('Product Data'!A119="","",IF(H119,'Box Library'!$G$4,IF(I119,'Box Library'!$G$5,IF(J119,'Box Library'!$G$6,IF(K119,'Box Library'!$G$7,IF(L119,'Box Library'!$G$8,0))))))</f>
        <v/>
      </c>
      <c r="O119" s="16">
        <f>IF('Product Data'!A119="","",IF(M119="NO BOX FITS",0,G119/(IF(H119,'Box Library'!$H$4,IF(I119,'Box Library'!$H$5,IF(J119,'Box Library'!$H$6,IF(K119,'Box Library'!$H$7,'Box Library'!$H$8)))))))</f>
        <v/>
      </c>
      <c r="P119" s="6">
        <f>IF('Product Data'!A119="","",IF(M119="NO BOX FITS","REVIEW - NO STANDARD BOX FITS","OK"))</f>
        <v/>
      </c>
    </row>
    <row r="120">
      <c r="A120" s="13">
        <f>IF('Product Data'!A120="","",'Product Data'!A120)</f>
        <v/>
      </c>
      <c r="B120" s="13">
        <f>IF('Product Data'!A120="","",'Product Data'!B120)</f>
        <v/>
      </c>
      <c r="C120" s="14">
        <f>IF('Product Data'!A120="","",'Product Data'!C120)</f>
        <v/>
      </c>
      <c r="D120" s="14">
        <f>IF('Product Data'!A120="","",'Product Data'!D120)</f>
        <v/>
      </c>
      <c r="E120" s="14">
        <f>IF('Product Data'!A120="","",'Product Data'!E120)</f>
        <v/>
      </c>
      <c r="F120" s="14">
        <f>IF('Product Data'!A120="","",'Product Data'!F120)</f>
        <v/>
      </c>
      <c r="G120" s="9">
        <f>IF('Product Data'!A120="","",C120*D120*E120)</f>
        <v/>
      </c>
      <c r="H120" s="13">
        <f>IF('Product Data'!A120="","",AND($C120&lt;='Box Library'!$C$4,$D120&lt;='Box Library'!$D$4,$E120&lt;='Box Library'!$E$4,$F120&lt;='Box Library'!$F$4))</f>
        <v/>
      </c>
      <c r="I120" s="13">
        <f>IF('Product Data'!A120="","",AND($C120&lt;='Box Library'!$C$5,$D120&lt;='Box Library'!$D$5,$E120&lt;='Box Library'!$E$5,$F120&lt;='Box Library'!$F$5))</f>
        <v/>
      </c>
      <c r="J120" s="13">
        <f>IF('Product Data'!A120="","",AND($C120&lt;='Box Library'!$C$6,$D120&lt;='Box Library'!$D$6,$E120&lt;='Box Library'!$E$6,$F120&lt;='Box Library'!$F$6))</f>
        <v/>
      </c>
      <c r="K120" s="13">
        <f>IF('Product Data'!A120="","",AND($C120&lt;='Box Library'!$C$7,$D120&lt;='Box Library'!$D$7,$E120&lt;='Box Library'!$E$7,$F120&lt;='Box Library'!$F$7))</f>
        <v/>
      </c>
      <c r="L120" s="13">
        <f>IF('Product Data'!A120="","",AND($C120&lt;='Box Library'!$C$8,$D120&lt;='Box Library'!$D$8,$E120&lt;='Box Library'!$E$8,$F120&lt;='Box Library'!$F$8))</f>
        <v/>
      </c>
      <c r="M120" s="13">
        <f>IF('Product Data'!A120="","",IF(H120,'Box Library'!$A$4,IF(I120,'Box Library'!$A$5,IF(J120,'Box Library'!$A$6,IF(K120,'Box Library'!$A$7,IF(L120,'Box Library'!$A$8,"NO BOX FITS"))))))</f>
        <v/>
      </c>
      <c r="N120" s="15">
        <f>IF('Product Data'!A120="","",IF(H120,'Box Library'!$G$4,IF(I120,'Box Library'!$G$5,IF(J120,'Box Library'!$G$6,IF(K120,'Box Library'!$G$7,IF(L120,'Box Library'!$G$8,0))))))</f>
        <v/>
      </c>
      <c r="O120" s="16">
        <f>IF('Product Data'!A120="","",IF(M120="NO BOX FITS",0,G120/(IF(H120,'Box Library'!$H$4,IF(I120,'Box Library'!$H$5,IF(J120,'Box Library'!$H$6,IF(K120,'Box Library'!$H$7,'Box Library'!$H$8)))))))</f>
        <v/>
      </c>
      <c r="P120" s="6">
        <f>IF('Product Data'!A120="","",IF(M120="NO BOX FITS","REVIEW - NO STANDARD BOX FITS","OK"))</f>
        <v/>
      </c>
    </row>
    <row r="121">
      <c r="A121" s="13">
        <f>IF('Product Data'!A121="","",'Product Data'!A121)</f>
        <v/>
      </c>
      <c r="B121" s="13">
        <f>IF('Product Data'!A121="","",'Product Data'!B121)</f>
        <v/>
      </c>
      <c r="C121" s="14">
        <f>IF('Product Data'!A121="","",'Product Data'!C121)</f>
        <v/>
      </c>
      <c r="D121" s="14">
        <f>IF('Product Data'!A121="","",'Product Data'!D121)</f>
        <v/>
      </c>
      <c r="E121" s="14">
        <f>IF('Product Data'!A121="","",'Product Data'!E121)</f>
        <v/>
      </c>
      <c r="F121" s="14">
        <f>IF('Product Data'!A121="","",'Product Data'!F121)</f>
        <v/>
      </c>
      <c r="G121" s="9">
        <f>IF('Product Data'!A121="","",C121*D121*E121)</f>
        <v/>
      </c>
      <c r="H121" s="13">
        <f>IF('Product Data'!A121="","",AND($C121&lt;='Box Library'!$C$4,$D121&lt;='Box Library'!$D$4,$E121&lt;='Box Library'!$E$4,$F121&lt;='Box Library'!$F$4))</f>
        <v/>
      </c>
      <c r="I121" s="13">
        <f>IF('Product Data'!A121="","",AND($C121&lt;='Box Library'!$C$5,$D121&lt;='Box Library'!$D$5,$E121&lt;='Box Library'!$E$5,$F121&lt;='Box Library'!$F$5))</f>
        <v/>
      </c>
      <c r="J121" s="13">
        <f>IF('Product Data'!A121="","",AND($C121&lt;='Box Library'!$C$6,$D121&lt;='Box Library'!$D$6,$E121&lt;='Box Library'!$E$6,$F121&lt;='Box Library'!$F$6))</f>
        <v/>
      </c>
      <c r="K121" s="13">
        <f>IF('Product Data'!A121="","",AND($C121&lt;='Box Library'!$C$7,$D121&lt;='Box Library'!$D$7,$E121&lt;='Box Library'!$E$7,$F121&lt;='Box Library'!$F$7))</f>
        <v/>
      </c>
      <c r="L121" s="13">
        <f>IF('Product Data'!A121="","",AND($C121&lt;='Box Library'!$C$8,$D121&lt;='Box Library'!$D$8,$E121&lt;='Box Library'!$E$8,$F121&lt;='Box Library'!$F$8))</f>
        <v/>
      </c>
      <c r="M121" s="13">
        <f>IF('Product Data'!A121="","",IF(H121,'Box Library'!$A$4,IF(I121,'Box Library'!$A$5,IF(J121,'Box Library'!$A$6,IF(K121,'Box Library'!$A$7,IF(L121,'Box Library'!$A$8,"NO BOX FITS"))))))</f>
        <v/>
      </c>
      <c r="N121" s="15">
        <f>IF('Product Data'!A121="","",IF(H121,'Box Library'!$G$4,IF(I121,'Box Library'!$G$5,IF(J121,'Box Library'!$G$6,IF(K121,'Box Library'!$G$7,IF(L121,'Box Library'!$G$8,0))))))</f>
        <v/>
      </c>
      <c r="O121" s="16">
        <f>IF('Product Data'!A121="","",IF(M121="NO BOX FITS",0,G121/(IF(H121,'Box Library'!$H$4,IF(I121,'Box Library'!$H$5,IF(J121,'Box Library'!$H$6,IF(K121,'Box Library'!$H$7,'Box Library'!$H$8)))))))</f>
        <v/>
      </c>
      <c r="P121" s="6">
        <f>IF('Product Data'!A121="","",IF(M121="NO BOX FITS","REVIEW - NO STANDARD BOX FITS","OK"))</f>
        <v/>
      </c>
    </row>
    <row r="122">
      <c r="A122" s="13">
        <f>IF('Product Data'!A122="","",'Product Data'!A122)</f>
        <v/>
      </c>
      <c r="B122" s="13">
        <f>IF('Product Data'!A122="","",'Product Data'!B122)</f>
        <v/>
      </c>
      <c r="C122" s="14">
        <f>IF('Product Data'!A122="","",'Product Data'!C122)</f>
        <v/>
      </c>
      <c r="D122" s="14">
        <f>IF('Product Data'!A122="","",'Product Data'!D122)</f>
        <v/>
      </c>
      <c r="E122" s="14">
        <f>IF('Product Data'!A122="","",'Product Data'!E122)</f>
        <v/>
      </c>
      <c r="F122" s="14">
        <f>IF('Product Data'!A122="","",'Product Data'!F122)</f>
        <v/>
      </c>
      <c r="G122" s="9">
        <f>IF('Product Data'!A122="","",C122*D122*E122)</f>
        <v/>
      </c>
      <c r="H122" s="13">
        <f>IF('Product Data'!A122="","",AND($C122&lt;='Box Library'!$C$4,$D122&lt;='Box Library'!$D$4,$E122&lt;='Box Library'!$E$4,$F122&lt;='Box Library'!$F$4))</f>
        <v/>
      </c>
      <c r="I122" s="13">
        <f>IF('Product Data'!A122="","",AND($C122&lt;='Box Library'!$C$5,$D122&lt;='Box Library'!$D$5,$E122&lt;='Box Library'!$E$5,$F122&lt;='Box Library'!$F$5))</f>
        <v/>
      </c>
      <c r="J122" s="13">
        <f>IF('Product Data'!A122="","",AND($C122&lt;='Box Library'!$C$6,$D122&lt;='Box Library'!$D$6,$E122&lt;='Box Library'!$E$6,$F122&lt;='Box Library'!$F$6))</f>
        <v/>
      </c>
      <c r="K122" s="13">
        <f>IF('Product Data'!A122="","",AND($C122&lt;='Box Library'!$C$7,$D122&lt;='Box Library'!$D$7,$E122&lt;='Box Library'!$E$7,$F122&lt;='Box Library'!$F$7))</f>
        <v/>
      </c>
      <c r="L122" s="13">
        <f>IF('Product Data'!A122="","",AND($C122&lt;='Box Library'!$C$8,$D122&lt;='Box Library'!$D$8,$E122&lt;='Box Library'!$E$8,$F122&lt;='Box Library'!$F$8))</f>
        <v/>
      </c>
      <c r="M122" s="13">
        <f>IF('Product Data'!A122="","",IF(H122,'Box Library'!$A$4,IF(I122,'Box Library'!$A$5,IF(J122,'Box Library'!$A$6,IF(K122,'Box Library'!$A$7,IF(L122,'Box Library'!$A$8,"NO BOX FITS"))))))</f>
        <v/>
      </c>
      <c r="N122" s="15">
        <f>IF('Product Data'!A122="","",IF(H122,'Box Library'!$G$4,IF(I122,'Box Library'!$G$5,IF(J122,'Box Library'!$G$6,IF(K122,'Box Library'!$G$7,IF(L122,'Box Library'!$G$8,0))))))</f>
        <v/>
      </c>
      <c r="O122" s="16">
        <f>IF('Product Data'!A122="","",IF(M122="NO BOX FITS",0,G122/(IF(H122,'Box Library'!$H$4,IF(I122,'Box Library'!$H$5,IF(J122,'Box Library'!$H$6,IF(K122,'Box Library'!$H$7,'Box Library'!$H$8)))))))</f>
        <v/>
      </c>
      <c r="P122" s="6">
        <f>IF('Product Data'!A122="","",IF(M122="NO BOX FITS","REVIEW - NO STANDARD BOX FITS","OK"))</f>
        <v/>
      </c>
    </row>
    <row r="123">
      <c r="A123" s="13">
        <f>IF('Product Data'!A123="","",'Product Data'!A123)</f>
        <v/>
      </c>
      <c r="B123" s="13">
        <f>IF('Product Data'!A123="","",'Product Data'!B123)</f>
        <v/>
      </c>
      <c r="C123" s="14">
        <f>IF('Product Data'!A123="","",'Product Data'!C123)</f>
        <v/>
      </c>
      <c r="D123" s="14">
        <f>IF('Product Data'!A123="","",'Product Data'!D123)</f>
        <v/>
      </c>
      <c r="E123" s="14">
        <f>IF('Product Data'!A123="","",'Product Data'!E123)</f>
        <v/>
      </c>
      <c r="F123" s="14">
        <f>IF('Product Data'!A123="","",'Product Data'!F123)</f>
        <v/>
      </c>
      <c r="G123" s="9">
        <f>IF('Product Data'!A123="","",C123*D123*E123)</f>
        <v/>
      </c>
      <c r="H123" s="13">
        <f>IF('Product Data'!A123="","",AND($C123&lt;='Box Library'!$C$4,$D123&lt;='Box Library'!$D$4,$E123&lt;='Box Library'!$E$4,$F123&lt;='Box Library'!$F$4))</f>
        <v/>
      </c>
      <c r="I123" s="13">
        <f>IF('Product Data'!A123="","",AND($C123&lt;='Box Library'!$C$5,$D123&lt;='Box Library'!$D$5,$E123&lt;='Box Library'!$E$5,$F123&lt;='Box Library'!$F$5))</f>
        <v/>
      </c>
      <c r="J123" s="13">
        <f>IF('Product Data'!A123="","",AND($C123&lt;='Box Library'!$C$6,$D123&lt;='Box Library'!$D$6,$E123&lt;='Box Library'!$E$6,$F123&lt;='Box Library'!$F$6))</f>
        <v/>
      </c>
      <c r="K123" s="13">
        <f>IF('Product Data'!A123="","",AND($C123&lt;='Box Library'!$C$7,$D123&lt;='Box Library'!$D$7,$E123&lt;='Box Library'!$E$7,$F123&lt;='Box Library'!$F$7))</f>
        <v/>
      </c>
      <c r="L123" s="13">
        <f>IF('Product Data'!A123="","",AND($C123&lt;='Box Library'!$C$8,$D123&lt;='Box Library'!$D$8,$E123&lt;='Box Library'!$E$8,$F123&lt;='Box Library'!$F$8))</f>
        <v/>
      </c>
      <c r="M123" s="13">
        <f>IF('Product Data'!A123="","",IF(H123,'Box Library'!$A$4,IF(I123,'Box Library'!$A$5,IF(J123,'Box Library'!$A$6,IF(K123,'Box Library'!$A$7,IF(L123,'Box Library'!$A$8,"NO BOX FITS"))))))</f>
        <v/>
      </c>
      <c r="N123" s="15">
        <f>IF('Product Data'!A123="","",IF(H123,'Box Library'!$G$4,IF(I123,'Box Library'!$G$5,IF(J123,'Box Library'!$G$6,IF(K123,'Box Library'!$G$7,IF(L123,'Box Library'!$G$8,0))))))</f>
        <v/>
      </c>
      <c r="O123" s="16">
        <f>IF('Product Data'!A123="","",IF(M123="NO BOX FITS",0,G123/(IF(H123,'Box Library'!$H$4,IF(I123,'Box Library'!$H$5,IF(J123,'Box Library'!$H$6,IF(K123,'Box Library'!$H$7,'Box Library'!$H$8)))))))</f>
        <v/>
      </c>
      <c r="P123" s="6">
        <f>IF('Product Data'!A123="","",IF(M123="NO BOX FITS","REVIEW - NO STANDARD BOX FITS","OK"))</f>
        <v/>
      </c>
    </row>
    <row r="124">
      <c r="A124" s="13">
        <f>IF('Product Data'!A124="","",'Product Data'!A124)</f>
        <v/>
      </c>
      <c r="B124" s="13">
        <f>IF('Product Data'!A124="","",'Product Data'!B124)</f>
        <v/>
      </c>
      <c r="C124" s="14">
        <f>IF('Product Data'!A124="","",'Product Data'!C124)</f>
        <v/>
      </c>
      <c r="D124" s="14">
        <f>IF('Product Data'!A124="","",'Product Data'!D124)</f>
        <v/>
      </c>
      <c r="E124" s="14">
        <f>IF('Product Data'!A124="","",'Product Data'!E124)</f>
        <v/>
      </c>
      <c r="F124" s="14">
        <f>IF('Product Data'!A124="","",'Product Data'!F124)</f>
        <v/>
      </c>
      <c r="G124" s="9">
        <f>IF('Product Data'!A124="","",C124*D124*E124)</f>
        <v/>
      </c>
      <c r="H124" s="13">
        <f>IF('Product Data'!A124="","",AND($C124&lt;='Box Library'!$C$4,$D124&lt;='Box Library'!$D$4,$E124&lt;='Box Library'!$E$4,$F124&lt;='Box Library'!$F$4))</f>
        <v/>
      </c>
      <c r="I124" s="13">
        <f>IF('Product Data'!A124="","",AND($C124&lt;='Box Library'!$C$5,$D124&lt;='Box Library'!$D$5,$E124&lt;='Box Library'!$E$5,$F124&lt;='Box Library'!$F$5))</f>
        <v/>
      </c>
      <c r="J124" s="13">
        <f>IF('Product Data'!A124="","",AND($C124&lt;='Box Library'!$C$6,$D124&lt;='Box Library'!$D$6,$E124&lt;='Box Library'!$E$6,$F124&lt;='Box Library'!$F$6))</f>
        <v/>
      </c>
      <c r="K124" s="13">
        <f>IF('Product Data'!A124="","",AND($C124&lt;='Box Library'!$C$7,$D124&lt;='Box Library'!$D$7,$E124&lt;='Box Library'!$E$7,$F124&lt;='Box Library'!$F$7))</f>
        <v/>
      </c>
      <c r="L124" s="13">
        <f>IF('Product Data'!A124="","",AND($C124&lt;='Box Library'!$C$8,$D124&lt;='Box Library'!$D$8,$E124&lt;='Box Library'!$E$8,$F124&lt;='Box Library'!$F$8))</f>
        <v/>
      </c>
      <c r="M124" s="13">
        <f>IF('Product Data'!A124="","",IF(H124,'Box Library'!$A$4,IF(I124,'Box Library'!$A$5,IF(J124,'Box Library'!$A$6,IF(K124,'Box Library'!$A$7,IF(L124,'Box Library'!$A$8,"NO BOX FITS"))))))</f>
        <v/>
      </c>
      <c r="N124" s="15">
        <f>IF('Product Data'!A124="","",IF(H124,'Box Library'!$G$4,IF(I124,'Box Library'!$G$5,IF(J124,'Box Library'!$G$6,IF(K124,'Box Library'!$G$7,IF(L124,'Box Library'!$G$8,0))))))</f>
        <v/>
      </c>
      <c r="O124" s="16">
        <f>IF('Product Data'!A124="","",IF(M124="NO BOX FITS",0,G124/(IF(H124,'Box Library'!$H$4,IF(I124,'Box Library'!$H$5,IF(J124,'Box Library'!$H$6,IF(K124,'Box Library'!$H$7,'Box Library'!$H$8)))))))</f>
        <v/>
      </c>
      <c r="P124" s="6">
        <f>IF('Product Data'!A124="","",IF(M124="NO BOX FITS","REVIEW - NO STANDARD BOX FITS","OK"))</f>
        <v/>
      </c>
    </row>
    <row r="125">
      <c r="A125" s="13">
        <f>IF('Product Data'!A125="","",'Product Data'!A125)</f>
        <v/>
      </c>
      <c r="B125" s="13">
        <f>IF('Product Data'!A125="","",'Product Data'!B125)</f>
        <v/>
      </c>
      <c r="C125" s="14">
        <f>IF('Product Data'!A125="","",'Product Data'!C125)</f>
        <v/>
      </c>
      <c r="D125" s="14">
        <f>IF('Product Data'!A125="","",'Product Data'!D125)</f>
        <v/>
      </c>
      <c r="E125" s="14">
        <f>IF('Product Data'!A125="","",'Product Data'!E125)</f>
        <v/>
      </c>
      <c r="F125" s="14">
        <f>IF('Product Data'!A125="","",'Product Data'!F125)</f>
        <v/>
      </c>
      <c r="G125" s="9">
        <f>IF('Product Data'!A125="","",C125*D125*E125)</f>
        <v/>
      </c>
      <c r="H125" s="13">
        <f>IF('Product Data'!A125="","",AND($C125&lt;='Box Library'!$C$4,$D125&lt;='Box Library'!$D$4,$E125&lt;='Box Library'!$E$4,$F125&lt;='Box Library'!$F$4))</f>
        <v/>
      </c>
      <c r="I125" s="13">
        <f>IF('Product Data'!A125="","",AND($C125&lt;='Box Library'!$C$5,$D125&lt;='Box Library'!$D$5,$E125&lt;='Box Library'!$E$5,$F125&lt;='Box Library'!$F$5))</f>
        <v/>
      </c>
      <c r="J125" s="13">
        <f>IF('Product Data'!A125="","",AND($C125&lt;='Box Library'!$C$6,$D125&lt;='Box Library'!$D$6,$E125&lt;='Box Library'!$E$6,$F125&lt;='Box Library'!$F$6))</f>
        <v/>
      </c>
      <c r="K125" s="13">
        <f>IF('Product Data'!A125="","",AND($C125&lt;='Box Library'!$C$7,$D125&lt;='Box Library'!$D$7,$E125&lt;='Box Library'!$E$7,$F125&lt;='Box Library'!$F$7))</f>
        <v/>
      </c>
      <c r="L125" s="13">
        <f>IF('Product Data'!A125="","",AND($C125&lt;='Box Library'!$C$8,$D125&lt;='Box Library'!$D$8,$E125&lt;='Box Library'!$E$8,$F125&lt;='Box Library'!$F$8))</f>
        <v/>
      </c>
      <c r="M125" s="13">
        <f>IF('Product Data'!A125="","",IF(H125,'Box Library'!$A$4,IF(I125,'Box Library'!$A$5,IF(J125,'Box Library'!$A$6,IF(K125,'Box Library'!$A$7,IF(L125,'Box Library'!$A$8,"NO BOX FITS"))))))</f>
        <v/>
      </c>
      <c r="N125" s="15">
        <f>IF('Product Data'!A125="","",IF(H125,'Box Library'!$G$4,IF(I125,'Box Library'!$G$5,IF(J125,'Box Library'!$G$6,IF(K125,'Box Library'!$G$7,IF(L125,'Box Library'!$G$8,0))))))</f>
        <v/>
      </c>
      <c r="O125" s="16">
        <f>IF('Product Data'!A125="","",IF(M125="NO BOX FITS",0,G125/(IF(H125,'Box Library'!$H$4,IF(I125,'Box Library'!$H$5,IF(J125,'Box Library'!$H$6,IF(K125,'Box Library'!$H$7,'Box Library'!$H$8)))))))</f>
        <v/>
      </c>
      <c r="P125" s="6">
        <f>IF('Product Data'!A125="","",IF(M125="NO BOX FITS","REVIEW - NO STANDARD BOX FITS","OK"))</f>
        <v/>
      </c>
    </row>
    <row r="126">
      <c r="A126" s="13">
        <f>IF('Product Data'!A126="","",'Product Data'!A126)</f>
        <v/>
      </c>
      <c r="B126" s="13">
        <f>IF('Product Data'!A126="","",'Product Data'!B126)</f>
        <v/>
      </c>
      <c r="C126" s="14">
        <f>IF('Product Data'!A126="","",'Product Data'!C126)</f>
        <v/>
      </c>
      <c r="D126" s="14">
        <f>IF('Product Data'!A126="","",'Product Data'!D126)</f>
        <v/>
      </c>
      <c r="E126" s="14">
        <f>IF('Product Data'!A126="","",'Product Data'!E126)</f>
        <v/>
      </c>
      <c r="F126" s="14">
        <f>IF('Product Data'!A126="","",'Product Data'!F126)</f>
        <v/>
      </c>
      <c r="G126" s="9">
        <f>IF('Product Data'!A126="","",C126*D126*E126)</f>
        <v/>
      </c>
      <c r="H126" s="13">
        <f>IF('Product Data'!A126="","",AND($C126&lt;='Box Library'!$C$4,$D126&lt;='Box Library'!$D$4,$E126&lt;='Box Library'!$E$4,$F126&lt;='Box Library'!$F$4))</f>
        <v/>
      </c>
      <c r="I126" s="13">
        <f>IF('Product Data'!A126="","",AND($C126&lt;='Box Library'!$C$5,$D126&lt;='Box Library'!$D$5,$E126&lt;='Box Library'!$E$5,$F126&lt;='Box Library'!$F$5))</f>
        <v/>
      </c>
      <c r="J126" s="13">
        <f>IF('Product Data'!A126="","",AND($C126&lt;='Box Library'!$C$6,$D126&lt;='Box Library'!$D$6,$E126&lt;='Box Library'!$E$6,$F126&lt;='Box Library'!$F$6))</f>
        <v/>
      </c>
      <c r="K126" s="13">
        <f>IF('Product Data'!A126="","",AND($C126&lt;='Box Library'!$C$7,$D126&lt;='Box Library'!$D$7,$E126&lt;='Box Library'!$E$7,$F126&lt;='Box Library'!$F$7))</f>
        <v/>
      </c>
      <c r="L126" s="13">
        <f>IF('Product Data'!A126="","",AND($C126&lt;='Box Library'!$C$8,$D126&lt;='Box Library'!$D$8,$E126&lt;='Box Library'!$E$8,$F126&lt;='Box Library'!$F$8))</f>
        <v/>
      </c>
      <c r="M126" s="13">
        <f>IF('Product Data'!A126="","",IF(H126,'Box Library'!$A$4,IF(I126,'Box Library'!$A$5,IF(J126,'Box Library'!$A$6,IF(K126,'Box Library'!$A$7,IF(L126,'Box Library'!$A$8,"NO BOX FITS"))))))</f>
        <v/>
      </c>
      <c r="N126" s="15">
        <f>IF('Product Data'!A126="","",IF(H126,'Box Library'!$G$4,IF(I126,'Box Library'!$G$5,IF(J126,'Box Library'!$G$6,IF(K126,'Box Library'!$G$7,IF(L126,'Box Library'!$G$8,0))))))</f>
        <v/>
      </c>
      <c r="O126" s="16">
        <f>IF('Product Data'!A126="","",IF(M126="NO BOX FITS",0,G126/(IF(H126,'Box Library'!$H$4,IF(I126,'Box Library'!$H$5,IF(J126,'Box Library'!$H$6,IF(K126,'Box Library'!$H$7,'Box Library'!$H$8)))))))</f>
        <v/>
      </c>
      <c r="P126" s="6">
        <f>IF('Product Data'!A126="","",IF(M126="NO BOX FITS","REVIEW - NO STANDARD BOX FITS","OK"))</f>
        <v/>
      </c>
    </row>
    <row r="127">
      <c r="A127" s="13">
        <f>IF('Product Data'!A127="","",'Product Data'!A127)</f>
        <v/>
      </c>
      <c r="B127" s="13">
        <f>IF('Product Data'!A127="","",'Product Data'!B127)</f>
        <v/>
      </c>
      <c r="C127" s="14">
        <f>IF('Product Data'!A127="","",'Product Data'!C127)</f>
        <v/>
      </c>
      <c r="D127" s="14">
        <f>IF('Product Data'!A127="","",'Product Data'!D127)</f>
        <v/>
      </c>
      <c r="E127" s="14">
        <f>IF('Product Data'!A127="","",'Product Data'!E127)</f>
        <v/>
      </c>
      <c r="F127" s="14">
        <f>IF('Product Data'!A127="","",'Product Data'!F127)</f>
        <v/>
      </c>
      <c r="G127" s="9">
        <f>IF('Product Data'!A127="","",C127*D127*E127)</f>
        <v/>
      </c>
      <c r="H127" s="13">
        <f>IF('Product Data'!A127="","",AND($C127&lt;='Box Library'!$C$4,$D127&lt;='Box Library'!$D$4,$E127&lt;='Box Library'!$E$4,$F127&lt;='Box Library'!$F$4))</f>
        <v/>
      </c>
      <c r="I127" s="13">
        <f>IF('Product Data'!A127="","",AND($C127&lt;='Box Library'!$C$5,$D127&lt;='Box Library'!$D$5,$E127&lt;='Box Library'!$E$5,$F127&lt;='Box Library'!$F$5))</f>
        <v/>
      </c>
      <c r="J127" s="13">
        <f>IF('Product Data'!A127="","",AND($C127&lt;='Box Library'!$C$6,$D127&lt;='Box Library'!$D$6,$E127&lt;='Box Library'!$E$6,$F127&lt;='Box Library'!$F$6))</f>
        <v/>
      </c>
      <c r="K127" s="13">
        <f>IF('Product Data'!A127="","",AND($C127&lt;='Box Library'!$C$7,$D127&lt;='Box Library'!$D$7,$E127&lt;='Box Library'!$E$7,$F127&lt;='Box Library'!$F$7))</f>
        <v/>
      </c>
      <c r="L127" s="13">
        <f>IF('Product Data'!A127="","",AND($C127&lt;='Box Library'!$C$8,$D127&lt;='Box Library'!$D$8,$E127&lt;='Box Library'!$E$8,$F127&lt;='Box Library'!$F$8))</f>
        <v/>
      </c>
      <c r="M127" s="13">
        <f>IF('Product Data'!A127="","",IF(H127,'Box Library'!$A$4,IF(I127,'Box Library'!$A$5,IF(J127,'Box Library'!$A$6,IF(K127,'Box Library'!$A$7,IF(L127,'Box Library'!$A$8,"NO BOX FITS"))))))</f>
        <v/>
      </c>
      <c r="N127" s="15">
        <f>IF('Product Data'!A127="","",IF(H127,'Box Library'!$G$4,IF(I127,'Box Library'!$G$5,IF(J127,'Box Library'!$G$6,IF(K127,'Box Library'!$G$7,IF(L127,'Box Library'!$G$8,0))))))</f>
        <v/>
      </c>
      <c r="O127" s="16">
        <f>IF('Product Data'!A127="","",IF(M127="NO BOX FITS",0,G127/(IF(H127,'Box Library'!$H$4,IF(I127,'Box Library'!$H$5,IF(J127,'Box Library'!$H$6,IF(K127,'Box Library'!$H$7,'Box Library'!$H$8)))))))</f>
        <v/>
      </c>
      <c r="P127" s="6">
        <f>IF('Product Data'!A127="","",IF(M127="NO BOX FITS","REVIEW - NO STANDARD BOX FITS","OK"))</f>
        <v/>
      </c>
    </row>
    <row r="128">
      <c r="A128" s="13">
        <f>IF('Product Data'!A128="","",'Product Data'!A128)</f>
        <v/>
      </c>
      <c r="B128" s="13">
        <f>IF('Product Data'!A128="","",'Product Data'!B128)</f>
        <v/>
      </c>
      <c r="C128" s="14">
        <f>IF('Product Data'!A128="","",'Product Data'!C128)</f>
        <v/>
      </c>
      <c r="D128" s="14">
        <f>IF('Product Data'!A128="","",'Product Data'!D128)</f>
        <v/>
      </c>
      <c r="E128" s="14">
        <f>IF('Product Data'!A128="","",'Product Data'!E128)</f>
        <v/>
      </c>
      <c r="F128" s="14">
        <f>IF('Product Data'!A128="","",'Product Data'!F128)</f>
        <v/>
      </c>
      <c r="G128" s="9">
        <f>IF('Product Data'!A128="","",C128*D128*E128)</f>
        <v/>
      </c>
      <c r="H128" s="13">
        <f>IF('Product Data'!A128="","",AND($C128&lt;='Box Library'!$C$4,$D128&lt;='Box Library'!$D$4,$E128&lt;='Box Library'!$E$4,$F128&lt;='Box Library'!$F$4))</f>
        <v/>
      </c>
      <c r="I128" s="13">
        <f>IF('Product Data'!A128="","",AND($C128&lt;='Box Library'!$C$5,$D128&lt;='Box Library'!$D$5,$E128&lt;='Box Library'!$E$5,$F128&lt;='Box Library'!$F$5))</f>
        <v/>
      </c>
      <c r="J128" s="13">
        <f>IF('Product Data'!A128="","",AND($C128&lt;='Box Library'!$C$6,$D128&lt;='Box Library'!$D$6,$E128&lt;='Box Library'!$E$6,$F128&lt;='Box Library'!$F$6))</f>
        <v/>
      </c>
      <c r="K128" s="13">
        <f>IF('Product Data'!A128="","",AND($C128&lt;='Box Library'!$C$7,$D128&lt;='Box Library'!$D$7,$E128&lt;='Box Library'!$E$7,$F128&lt;='Box Library'!$F$7))</f>
        <v/>
      </c>
      <c r="L128" s="13">
        <f>IF('Product Data'!A128="","",AND($C128&lt;='Box Library'!$C$8,$D128&lt;='Box Library'!$D$8,$E128&lt;='Box Library'!$E$8,$F128&lt;='Box Library'!$F$8))</f>
        <v/>
      </c>
      <c r="M128" s="13">
        <f>IF('Product Data'!A128="","",IF(H128,'Box Library'!$A$4,IF(I128,'Box Library'!$A$5,IF(J128,'Box Library'!$A$6,IF(K128,'Box Library'!$A$7,IF(L128,'Box Library'!$A$8,"NO BOX FITS"))))))</f>
        <v/>
      </c>
      <c r="N128" s="15">
        <f>IF('Product Data'!A128="","",IF(H128,'Box Library'!$G$4,IF(I128,'Box Library'!$G$5,IF(J128,'Box Library'!$G$6,IF(K128,'Box Library'!$G$7,IF(L128,'Box Library'!$G$8,0))))))</f>
        <v/>
      </c>
      <c r="O128" s="16">
        <f>IF('Product Data'!A128="","",IF(M128="NO BOX FITS",0,G128/(IF(H128,'Box Library'!$H$4,IF(I128,'Box Library'!$H$5,IF(J128,'Box Library'!$H$6,IF(K128,'Box Library'!$H$7,'Box Library'!$H$8)))))))</f>
        <v/>
      </c>
      <c r="P128" s="6">
        <f>IF('Product Data'!A128="","",IF(M128="NO BOX FITS","REVIEW - NO STANDARD BOX FITS","OK"))</f>
        <v/>
      </c>
    </row>
    <row r="129">
      <c r="A129" s="13">
        <f>IF('Product Data'!A129="","",'Product Data'!A129)</f>
        <v/>
      </c>
      <c r="B129" s="13">
        <f>IF('Product Data'!A129="","",'Product Data'!B129)</f>
        <v/>
      </c>
      <c r="C129" s="14">
        <f>IF('Product Data'!A129="","",'Product Data'!C129)</f>
        <v/>
      </c>
      <c r="D129" s="14">
        <f>IF('Product Data'!A129="","",'Product Data'!D129)</f>
        <v/>
      </c>
      <c r="E129" s="14">
        <f>IF('Product Data'!A129="","",'Product Data'!E129)</f>
        <v/>
      </c>
      <c r="F129" s="14">
        <f>IF('Product Data'!A129="","",'Product Data'!F129)</f>
        <v/>
      </c>
      <c r="G129" s="9">
        <f>IF('Product Data'!A129="","",C129*D129*E129)</f>
        <v/>
      </c>
      <c r="H129" s="13">
        <f>IF('Product Data'!A129="","",AND($C129&lt;='Box Library'!$C$4,$D129&lt;='Box Library'!$D$4,$E129&lt;='Box Library'!$E$4,$F129&lt;='Box Library'!$F$4))</f>
        <v/>
      </c>
      <c r="I129" s="13">
        <f>IF('Product Data'!A129="","",AND($C129&lt;='Box Library'!$C$5,$D129&lt;='Box Library'!$D$5,$E129&lt;='Box Library'!$E$5,$F129&lt;='Box Library'!$F$5))</f>
        <v/>
      </c>
      <c r="J129" s="13">
        <f>IF('Product Data'!A129="","",AND($C129&lt;='Box Library'!$C$6,$D129&lt;='Box Library'!$D$6,$E129&lt;='Box Library'!$E$6,$F129&lt;='Box Library'!$F$6))</f>
        <v/>
      </c>
      <c r="K129" s="13">
        <f>IF('Product Data'!A129="","",AND($C129&lt;='Box Library'!$C$7,$D129&lt;='Box Library'!$D$7,$E129&lt;='Box Library'!$E$7,$F129&lt;='Box Library'!$F$7))</f>
        <v/>
      </c>
      <c r="L129" s="13">
        <f>IF('Product Data'!A129="","",AND($C129&lt;='Box Library'!$C$8,$D129&lt;='Box Library'!$D$8,$E129&lt;='Box Library'!$E$8,$F129&lt;='Box Library'!$F$8))</f>
        <v/>
      </c>
      <c r="M129" s="13">
        <f>IF('Product Data'!A129="","",IF(H129,'Box Library'!$A$4,IF(I129,'Box Library'!$A$5,IF(J129,'Box Library'!$A$6,IF(K129,'Box Library'!$A$7,IF(L129,'Box Library'!$A$8,"NO BOX FITS"))))))</f>
        <v/>
      </c>
      <c r="N129" s="15">
        <f>IF('Product Data'!A129="","",IF(H129,'Box Library'!$G$4,IF(I129,'Box Library'!$G$5,IF(J129,'Box Library'!$G$6,IF(K129,'Box Library'!$G$7,IF(L129,'Box Library'!$G$8,0))))))</f>
        <v/>
      </c>
      <c r="O129" s="16">
        <f>IF('Product Data'!A129="","",IF(M129="NO BOX FITS",0,G129/(IF(H129,'Box Library'!$H$4,IF(I129,'Box Library'!$H$5,IF(J129,'Box Library'!$H$6,IF(K129,'Box Library'!$H$7,'Box Library'!$H$8)))))))</f>
        <v/>
      </c>
      <c r="P129" s="6">
        <f>IF('Product Data'!A129="","",IF(M129="NO BOX FITS","REVIEW - NO STANDARD BOX FITS","OK"))</f>
        <v/>
      </c>
    </row>
    <row r="130">
      <c r="A130" s="13">
        <f>IF('Product Data'!A130="","",'Product Data'!A130)</f>
        <v/>
      </c>
      <c r="B130" s="13">
        <f>IF('Product Data'!A130="","",'Product Data'!B130)</f>
        <v/>
      </c>
      <c r="C130" s="14">
        <f>IF('Product Data'!A130="","",'Product Data'!C130)</f>
        <v/>
      </c>
      <c r="D130" s="14">
        <f>IF('Product Data'!A130="","",'Product Data'!D130)</f>
        <v/>
      </c>
      <c r="E130" s="14">
        <f>IF('Product Data'!A130="","",'Product Data'!E130)</f>
        <v/>
      </c>
      <c r="F130" s="14">
        <f>IF('Product Data'!A130="","",'Product Data'!F130)</f>
        <v/>
      </c>
      <c r="G130" s="9">
        <f>IF('Product Data'!A130="","",C130*D130*E130)</f>
        <v/>
      </c>
      <c r="H130" s="13">
        <f>IF('Product Data'!A130="","",AND($C130&lt;='Box Library'!$C$4,$D130&lt;='Box Library'!$D$4,$E130&lt;='Box Library'!$E$4,$F130&lt;='Box Library'!$F$4))</f>
        <v/>
      </c>
      <c r="I130" s="13">
        <f>IF('Product Data'!A130="","",AND($C130&lt;='Box Library'!$C$5,$D130&lt;='Box Library'!$D$5,$E130&lt;='Box Library'!$E$5,$F130&lt;='Box Library'!$F$5))</f>
        <v/>
      </c>
      <c r="J130" s="13">
        <f>IF('Product Data'!A130="","",AND($C130&lt;='Box Library'!$C$6,$D130&lt;='Box Library'!$D$6,$E130&lt;='Box Library'!$E$6,$F130&lt;='Box Library'!$F$6))</f>
        <v/>
      </c>
      <c r="K130" s="13">
        <f>IF('Product Data'!A130="","",AND($C130&lt;='Box Library'!$C$7,$D130&lt;='Box Library'!$D$7,$E130&lt;='Box Library'!$E$7,$F130&lt;='Box Library'!$F$7))</f>
        <v/>
      </c>
      <c r="L130" s="13">
        <f>IF('Product Data'!A130="","",AND($C130&lt;='Box Library'!$C$8,$D130&lt;='Box Library'!$D$8,$E130&lt;='Box Library'!$E$8,$F130&lt;='Box Library'!$F$8))</f>
        <v/>
      </c>
      <c r="M130" s="13">
        <f>IF('Product Data'!A130="","",IF(H130,'Box Library'!$A$4,IF(I130,'Box Library'!$A$5,IF(J130,'Box Library'!$A$6,IF(K130,'Box Library'!$A$7,IF(L130,'Box Library'!$A$8,"NO BOX FITS"))))))</f>
        <v/>
      </c>
      <c r="N130" s="15">
        <f>IF('Product Data'!A130="","",IF(H130,'Box Library'!$G$4,IF(I130,'Box Library'!$G$5,IF(J130,'Box Library'!$G$6,IF(K130,'Box Library'!$G$7,IF(L130,'Box Library'!$G$8,0))))))</f>
        <v/>
      </c>
      <c r="O130" s="16">
        <f>IF('Product Data'!A130="","",IF(M130="NO BOX FITS",0,G130/(IF(H130,'Box Library'!$H$4,IF(I130,'Box Library'!$H$5,IF(J130,'Box Library'!$H$6,IF(K130,'Box Library'!$H$7,'Box Library'!$H$8)))))))</f>
        <v/>
      </c>
      <c r="P130" s="6">
        <f>IF('Product Data'!A130="","",IF(M130="NO BOX FITS","REVIEW - NO STANDARD BOX FITS","OK"))</f>
        <v/>
      </c>
    </row>
    <row r="131">
      <c r="A131" s="13">
        <f>IF('Product Data'!A131="","",'Product Data'!A131)</f>
        <v/>
      </c>
      <c r="B131" s="13">
        <f>IF('Product Data'!A131="","",'Product Data'!B131)</f>
        <v/>
      </c>
      <c r="C131" s="14">
        <f>IF('Product Data'!A131="","",'Product Data'!C131)</f>
        <v/>
      </c>
      <c r="D131" s="14">
        <f>IF('Product Data'!A131="","",'Product Data'!D131)</f>
        <v/>
      </c>
      <c r="E131" s="14">
        <f>IF('Product Data'!A131="","",'Product Data'!E131)</f>
        <v/>
      </c>
      <c r="F131" s="14">
        <f>IF('Product Data'!A131="","",'Product Data'!F131)</f>
        <v/>
      </c>
      <c r="G131" s="9">
        <f>IF('Product Data'!A131="","",C131*D131*E131)</f>
        <v/>
      </c>
      <c r="H131" s="13">
        <f>IF('Product Data'!A131="","",AND($C131&lt;='Box Library'!$C$4,$D131&lt;='Box Library'!$D$4,$E131&lt;='Box Library'!$E$4,$F131&lt;='Box Library'!$F$4))</f>
        <v/>
      </c>
      <c r="I131" s="13">
        <f>IF('Product Data'!A131="","",AND($C131&lt;='Box Library'!$C$5,$D131&lt;='Box Library'!$D$5,$E131&lt;='Box Library'!$E$5,$F131&lt;='Box Library'!$F$5))</f>
        <v/>
      </c>
      <c r="J131" s="13">
        <f>IF('Product Data'!A131="","",AND($C131&lt;='Box Library'!$C$6,$D131&lt;='Box Library'!$D$6,$E131&lt;='Box Library'!$E$6,$F131&lt;='Box Library'!$F$6))</f>
        <v/>
      </c>
      <c r="K131" s="13">
        <f>IF('Product Data'!A131="","",AND($C131&lt;='Box Library'!$C$7,$D131&lt;='Box Library'!$D$7,$E131&lt;='Box Library'!$E$7,$F131&lt;='Box Library'!$F$7))</f>
        <v/>
      </c>
      <c r="L131" s="13">
        <f>IF('Product Data'!A131="","",AND($C131&lt;='Box Library'!$C$8,$D131&lt;='Box Library'!$D$8,$E131&lt;='Box Library'!$E$8,$F131&lt;='Box Library'!$F$8))</f>
        <v/>
      </c>
      <c r="M131" s="13">
        <f>IF('Product Data'!A131="","",IF(H131,'Box Library'!$A$4,IF(I131,'Box Library'!$A$5,IF(J131,'Box Library'!$A$6,IF(K131,'Box Library'!$A$7,IF(L131,'Box Library'!$A$8,"NO BOX FITS"))))))</f>
        <v/>
      </c>
      <c r="N131" s="15">
        <f>IF('Product Data'!A131="","",IF(H131,'Box Library'!$G$4,IF(I131,'Box Library'!$G$5,IF(J131,'Box Library'!$G$6,IF(K131,'Box Library'!$G$7,IF(L131,'Box Library'!$G$8,0))))))</f>
        <v/>
      </c>
      <c r="O131" s="16">
        <f>IF('Product Data'!A131="","",IF(M131="NO BOX FITS",0,G131/(IF(H131,'Box Library'!$H$4,IF(I131,'Box Library'!$H$5,IF(J131,'Box Library'!$H$6,IF(K131,'Box Library'!$H$7,'Box Library'!$H$8)))))))</f>
        <v/>
      </c>
      <c r="P131" s="6">
        <f>IF('Product Data'!A131="","",IF(M131="NO BOX FITS","REVIEW - NO STANDARD BOX FITS","OK"))</f>
        <v/>
      </c>
    </row>
    <row r="132">
      <c r="A132" s="13">
        <f>IF('Product Data'!A132="","",'Product Data'!A132)</f>
        <v/>
      </c>
      <c r="B132" s="13">
        <f>IF('Product Data'!A132="","",'Product Data'!B132)</f>
        <v/>
      </c>
      <c r="C132" s="14">
        <f>IF('Product Data'!A132="","",'Product Data'!C132)</f>
        <v/>
      </c>
      <c r="D132" s="14">
        <f>IF('Product Data'!A132="","",'Product Data'!D132)</f>
        <v/>
      </c>
      <c r="E132" s="14">
        <f>IF('Product Data'!A132="","",'Product Data'!E132)</f>
        <v/>
      </c>
      <c r="F132" s="14">
        <f>IF('Product Data'!A132="","",'Product Data'!F132)</f>
        <v/>
      </c>
      <c r="G132" s="9">
        <f>IF('Product Data'!A132="","",C132*D132*E132)</f>
        <v/>
      </c>
      <c r="H132" s="13">
        <f>IF('Product Data'!A132="","",AND($C132&lt;='Box Library'!$C$4,$D132&lt;='Box Library'!$D$4,$E132&lt;='Box Library'!$E$4,$F132&lt;='Box Library'!$F$4))</f>
        <v/>
      </c>
      <c r="I132" s="13">
        <f>IF('Product Data'!A132="","",AND($C132&lt;='Box Library'!$C$5,$D132&lt;='Box Library'!$D$5,$E132&lt;='Box Library'!$E$5,$F132&lt;='Box Library'!$F$5))</f>
        <v/>
      </c>
      <c r="J132" s="13">
        <f>IF('Product Data'!A132="","",AND($C132&lt;='Box Library'!$C$6,$D132&lt;='Box Library'!$D$6,$E132&lt;='Box Library'!$E$6,$F132&lt;='Box Library'!$F$6))</f>
        <v/>
      </c>
      <c r="K132" s="13">
        <f>IF('Product Data'!A132="","",AND($C132&lt;='Box Library'!$C$7,$D132&lt;='Box Library'!$D$7,$E132&lt;='Box Library'!$E$7,$F132&lt;='Box Library'!$F$7))</f>
        <v/>
      </c>
      <c r="L132" s="13">
        <f>IF('Product Data'!A132="","",AND($C132&lt;='Box Library'!$C$8,$D132&lt;='Box Library'!$D$8,$E132&lt;='Box Library'!$E$8,$F132&lt;='Box Library'!$F$8))</f>
        <v/>
      </c>
      <c r="M132" s="13">
        <f>IF('Product Data'!A132="","",IF(H132,'Box Library'!$A$4,IF(I132,'Box Library'!$A$5,IF(J132,'Box Library'!$A$6,IF(K132,'Box Library'!$A$7,IF(L132,'Box Library'!$A$8,"NO BOX FITS"))))))</f>
        <v/>
      </c>
      <c r="N132" s="15">
        <f>IF('Product Data'!A132="","",IF(H132,'Box Library'!$G$4,IF(I132,'Box Library'!$G$5,IF(J132,'Box Library'!$G$6,IF(K132,'Box Library'!$G$7,IF(L132,'Box Library'!$G$8,0))))))</f>
        <v/>
      </c>
      <c r="O132" s="16">
        <f>IF('Product Data'!A132="","",IF(M132="NO BOX FITS",0,G132/(IF(H132,'Box Library'!$H$4,IF(I132,'Box Library'!$H$5,IF(J132,'Box Library'!$H$6,IF(K132,'Box Library'!$H$7,'Box Library'!$H$8)))))))</f>
        <v/>
      </c>
      <c r="P132" s="6">
        <f>IF('Product Data'!A132="","",IF(M132="NO BOX FITS","REVIEW - NO STANDARD BOX FITS","OK"))</f>
        <v/>
      </c>
    </row>
    <row r="133">
      <c r="A133" s="13">
        <f>IF('Product Data'!A133="","",'Product Data'!A133)</f>
        <v/>
      </c>
      <c r="B133" s="13">
        <f>IF('Product Data'!A133="","",'Product Data'!B133)</f>
        <v/>
      </c>
      <c r="C133" s="14">
        <f>IF('Product Data'!A133="","",'Product Data'!C133)</f>
        <v/>
      </c>
      <c r="D133" s="14">
        <f>IF('Product Data'!A133="","",'Product Data'!D133)</f>
        <v/>
      </c>
      <c r="E133" s="14">
        <f>IF('Product Data'!A133="","",'Product Data'!E133)</f>
        <v/>
      </c>
      <c r="F133" s="14">
        <f>IF('Product Data'!A133="","",'Product Data'!F133)</f>
        <v/>
      </c>
      <c r="G133" s="9">
        <f>IF('Product Data'!A133="","",C133*D133*E133)</f>
        <v/>
      </c>
      <c r="H133" s="13">
        <f>IF('Product Data'!A133="","",AND($C133&lt;='Box Library'!$C$4,$D133&lt;='Box Library'!$D$4,$E133&lt;='Box Library'!$E$4,$F133&lt;='Box Library'!$F$4))</f>
        <v/>
      </c>
      <c r="I133" s="13">
        <f>IF('Product Data'!A133="","",AND($C133&lt;='Box Library'!$C$5,$D133&lt;='Box Library'!$D$5,$E133&lt;='Box Library'!$E$5,$F133&lt;='Box Library'!$F$5))</f>
        <v/>
      </c>
      <c r="J133" s="13">
        <f>IF('Product Data'!A133="","",AND($C133&lt;='Box Library'!$C$6,$D133&lt;='Box Library'!$D$6,$E133&lt;='Box Library'!$E$6,$F133&lt;='Box Library'!$F$6))</f>
        <v/>
      </c>
      <c r="K133" s="13">
        <f>IF('Product Data'!A133="","",AND($C133&lt;='Box Library'!$C$7,$D133&lt;='Box Library'!$D$7,$E133&lt;='Box Library'!$E$7,$F133&lt;='Box Library'!$F$7))</f>
        <v/>
      </c>
      <c r="L133" s="13">
        <f>IF('Product Data'!A133="","",AND($C133&lt;='Box Library'!$C$8,$D133&lt;='Box Library'!$D$8,$E133&lt;='Box Library'!$E$8,$F133&lt;='Box Library'!$F$8))</f>
        <v/>
      </c>
      <c r="M133" s="13">
        <f>IF('Product Data'!A133="","",IF(H133,'Box Library'!$A$4,IF(I133,'Box Library'!$A$5,IF(J133,'Box Library'!$A$6,IF(K133,'Box Library'!$A$7,IF(L133,'Box Library'!$A$8,"NO BOX FITS"))))))</f>
        <v/>
      </c>
      <c r="N133" s="15">
        <f>IF('Product Data'!A133="","",IF(H133,'Box Library'!$G$4,IF(I133,'Box Library'!$G$5,IF(J133,'Box Library'!$G$6,IF(K133,'Box Library'!$G$7,IF(L133,'Box Library'!$G$8,0))))))</f>
        <v/>
      </c>
      <c r="O133" s="16">
        <f>IF('Product Data'!A133="","",IF(M133="NO BOX FITS",0,G133/(IF(H133,'Box Library'!$H$4,IF(I133,'Box Library'!$H$5,IF(J133,'Box Library'!$H$6,IF(K133,'Box Library'!$H$7,'Box Library'!$H$8)))))))</f>
        <v/>
      </c>
      <c r="P133" s="6">
        <f>IF('Product Data'!A133="","",IF(M133="NO BOX FITS","REVIEW - NO STANDARD BOX FITS","OK"))</f>
        <v/>
      </c>
    </row>
    <row r="134">
      <c r="A134" s="13">
        <f>IF('Product Data'!A134="","",'Product Data'!A134)</f>
        <v/>
      </c>
      <c r="B134" s="13">
        <f>IF('Product Data'!A134="","",'Product Data'!B134)</f>
        <v/>
      </c>
      <c r="C134" s="14">
        <f>IF('Product Data'!A134="","",'Product Data'!C134)</f>
        <v/>
      </c>
      <c r="D134" s="14">
        <f>IF('Product Data'!A134="","",'Product Data'!D134)</f>
        <v/>
      </c>
      <c r="E134" s="14">
        <f>IF('Product Data'!A134="","",'Product Data'!E134)</f>
        <v/>
      </c>
      <c r="F134" s="14">
        <f>IF('Product Data'!A134="","",'Product Data'!F134)</f>
        <v/>
      </c>
      <c r="G134" s="9">
        <f>IF('Product Data'!A134="","",C134*D134*E134)</f>
        <v/>
      </c>
      <c r="H134" s="13">
        <f>IF('Product Data'!A134="","",AND($C134&lt;='Box Library'!$C$4,$D134&lt;='Box Library'!$D$4,$E134&lt;='Box Library'!$E$4,$F134&lt;='Box Library'!$F$4))</f>
        <v/>
      </c>
      <c r="I134" s="13">
        <f>IF('Product Data'!A134="","",AND($C134&lt;='Box Library'!$C$5,$D134&lt;='Box Library'!$D$5,$E134&lt;='Box Library'!$E$5,$F134&lt;='Box Library'!$F$5))</f>
        <v/>
      </c>
      <c r="J134" s="13">
        <f>IF('Product Data'!A134="","",AND($C134&lt;='Box Library'!$C$6,$D134&lt;='Box Library'!$D$6,$E134&lt;='Box Library'!$E$6,$F134&lt;='Box Library'!$F$6))</f>
        <v/>
      </c>
      <c r="K134" s="13">
        <f>IF('Product Data'!A134="","",AND($C134&lt;='Box Library'!$C$7,$D134&lt;='Box Library'!$D$7,$E134&lt;='Box Library'!$E$7,$F134&lt;='Box Library'!$F$7))</f>
        <v/>
      </c>
      <c r="L134" s="13">
        <f>IF('Product Data'!A134="","",AND($C134&lt;='Box Library'!$C$8,$D134&lt;='Box Library'!$D$8,$E134&lt;='Box Library'!$E$8,$F134&lt;='Box Library'!$F$8))</f>
        <v/>
      </c>
      <c r="M134" s="13">
        <f>IF('Product Data'!A134="","",IF(H134,'Box Library'!$A$4,IF(I134,'Box Library'!$A$5,IF(J134,'Box Library'!$A$6,IF(K134,'Box Library'!$A$7,IF(L134,'Box Library'!$A$8,"NO BOX FITS"))))))</f>
        <v/>
      </c>
      <c r="N134" s="15">
        <f>IF('Product Data'!A134="","",IF(H134,'Box Library'!$G$4,IF(I134,'Box Library'!$G$5,IF(J134,'Box Library'!$G$6,IF(K134,'Box Library'!$G$7,IF(L134,'Box Library'!$G$8,0))))))</f>
        <v/>
      </c>
      <c r="O134" s="16">
        <f>IF('Product Data'!A134="","",IF(M134="NO BOX FITS",0,G134/(IF(H134,'Box Library'!$H$4,IF(I134,'Box Library'!$H$5,IF(J134,'Box Library'!$H$6,IF(K134,'Box Library'!$H$7,'Box Library'!$H$8)))))))</f>
        <v/>
      </c>
      <c r="P134" s="6">
        <f>IF('Product Data'!A134="","",IF(M134="NO BOX FITS","REVIEW - NO STANDARD BOX FITS","OK"))</f>
        <v/>
      </c>
    </row>
    <row r="135">
      <c r="A135" s="13">
        <f>IF('Product Data'!A135="","",'Product Data'!A135)</f>
        <v/>
      </c>
      <c r="B135" s="13">
        <f>IF('Product Data'!A135="","",'Product Data'!B135)</f>
        <v/>
      </c>
      <c r="C135" s="14">
        <f>IF('Product Data'!A135="","",'Product Data'!C135)</f>
        <v/>
      </c>
      <c r="D135" s="14">
        <f>IF('Product Data'!A135="","",'Product Data'!D135)</f>
        <v/>
      </c>
      <c r="E135" s="14">
        <f>IF('Product Data'!A135="","",'Product Data'!E135)</f>
        <v/>
      </c>
      <c r="F135" s="14">
        <f>IF('Product Data'!A135="","",'Product Data'!F135)</f>
        <v/>
      </c>
      <c r="G135" s="9">
        <f>IF('Product Data'!A135="","",C135*D135*E135)</f>
        <v/>
      </c>
      <c r="H135" s="13">
        <f>IF('Product Data'!A135="","",AND($C135&lt;='Box Library'!$C$4,$D135&lt;='Box Library'!$D$4,$E135&lt;='Box Library'!$E$4,$F135&lt;='Box Library'!$F$4))</f>
        <v/>
      </c>
      <c r="I135" s="13">
        <f>IF('Product Data'!A135="","",AND($C135&lt;='Box Library'!$C$5,$D135&lt;='Box Library'!$D$5,$E135&lt;='Box Library'!$E$5,$F135&lt;='Box Library'!$F$5))</f>
        <v/>
      </c>
      <c r="J135" s="13">
        <f>IF('Product Data'!A135="","",AND($C135&lt;='Box Library'!$C$6,$D135&lt;='Box Library'!$D$6,$E135&lt;='Box Library'!$E$6,$F135&lt;='Box Library'!$F$6))</f>
        <v/>
      </c>
      <c r="K135" s="13">
        <f>IF('Product Data'!A135="","",AND($C135&lt;='Box Library'!$C$7,$D135&lt;='Box Library'!$D$7,$E135&lt;='Box Library'!$E$7,$F135&lt;='Box Library'!$F$7))</f>
        <v/>
      </c>
      <c r="L135" s="13">
        <f>IF('Product Data'!A135="","",AND($C135&lt;='Box Library'!$C$8,$D135&lt;='Box Library'!$D$8,$E135&lt;='Box Library'!$E$8,$F135&lt;='Box Library'!$F$8))</f>
        <v/>
      </c>
      <c r="M135" s="13">
        <f>IF('Product Data'!A135="","",IF(H135,'Box Library'!$A$4,IF(I135,'Box Library'!$A$5,IF(J135,'Box Library'!$A$6,IF(K135,'Box Library'!$A$7,IF(L135,'Box Library'!$A$8,"NO BOX FITS"))))))</f>
        <v/>
      </c>
      <c r="N135" s="15">
        <f>IF('Product Data'!A135="","",IF(H135,'Box Library'!$G$4,IF(I135,'Box Library'!$G$5,IF(J135,'Box Library'!$G$6,IF(K135,'Box Library'!$G$7,IF(L135,'Box Library'!$G$8,0))))))</f>
        <v/>
      </c>
      <c r="O135" s="16">
        <f>IF('Product Data'!A135="","",IF(M135="NO BOX FITS",0,G135/(IF(H135,'Box Library'!$H$4,IF(I135,'Box Library'!$H$5,IF(J135,'Box Library'!$H$6,IF(K135,'Box Library'!$H$7,'Box Library'!$H$8)))))))</f>
        <v/>
      </c>
      <c r="P135" s="6">
        <f>IF('Product Data'!A135="","",IF(M135="NO BOX FITS","REVIEW - NO STANDARD BOX FITS","OK"))</f>
        <v/>
      </c>
    </row>
    <row r="136">
      <c r="A136" s="13">
        <f>IF('Product Data'!A136="","",'Product Data'!A136)</f>
        <v/>
      </c>
      <c r="B136" s="13">
        <f>IF('Product Data'!A136="","",'Product Data'!B136)</f>
        <v/>
      </c>
      <c r="C136" s="14">
        <f>IF('Product Data'!A136="","",'Product Data'!C136)</f>
        <v/>
      </c>
      <c r="D136" s="14">
        <f>IF('Product Data'!A136="","",'Product Data'!D136)</f>
        <v/>
      </c>
      <c r="E136" s="14">
        <f>IF('Product Data'!A136="","",'Product Data'!E136)</f>
        <v/>
      </c>
      <c r="F136" s="14">
        <f>IF('Product Data'!A136="","",'Product Data'!F136)</f>
        <v/>
      </c>
      <c r="G136" s="9">
        <f>IF('Product Data'!A136="","",C136*D136*E136)</f>
        <v/>
      </c>
      <c r="H136" s="13">
        <f>IF('Product Data'!A136="","",AND($C136&lt;='Box Library'!$C$4,$D136&lt;='Box Library'!$D$4,$E136&lt;='Box Library'!$E$4,$F136&lt;='Box Library'!$F$4))</f>
        <v/>
      </c>
      <c r="I136" s="13">
        <f>IF('Product Data'!A136="","",AND($C136&lt;='Box Library'!$C$5,$D136&lt;='Box Library'!$D$5,$E136&lt;='Box Library'!$E$5,$F136&lt;='Box Library'!$F$5))</f>
        <v/>
      </c>
      <c r="J136" s="13">
        <f>IF('Product Data'!A136="","",AND($C136&lt;='Box Library'!$C$6,$D136&lt;='Box Library'!$D$6,$E136&lt;='Box Library'!$E$6,$F136&lt;='Box Library'!$F$6))</f>
        <v/>
      </c>
      <c r="K136" s="13">
        <f>IF('Product Data'!A136="","",AND($C136&lt;='Box Library'!$C$7,$D136&lt;='Box Library'!$D$7,$E136&lt;='Box Library'!$E$7,$F136&lt;='Box Library'!$F$7))</f>
        <v/>
      </c>
      <c r="L136" s="13">
        <f>IF('Product Data'!A136="","",AND($C136&lt;='Box Library'!$C$8,$D136&lt;='Box Library'!$D$8,$E136&lt;='Box Library'!$E$8,$F136&lt;='Box Library'!$F$8))</f>
        <v/>
      </c>
      <c r="M136" s="13">
        <f>IF('Product Data'!A136="","",IF(H136,'Box Library'!$A$4,IF(I136,'Box Library'!$A$5,IF(J136,'Box Library'!$A$6,IF(K136,'Box Library'!$A$7,IF(L136,'Box Library'!$A$8,"NO BOX FITS"))))))</f>
        <v/>
      </c>
      <c r="N136" s="15">
        <f>IF('Product Data'!A136="","",IF(H136,'Box Library'!$G$4,IF(I136,'Box Library'!$G$5,IF(J136,'Box Library'!$G$6,IF(K136,'Box Library'!$G$7,IF(L136,'Box Library'!$G$8,0))))))</f>
        <v/>
      </c>
      <c r="O136" s="16">
        <f>IF('Product Data'!A136="","",IF(M136="NO BOX FITS",0,G136/(IF(H136,'Box Library'!$H$4,IF(I136,'Box Library'!$H$5,IF(J136,'Box Library'!$H$6,IF(K136,'Box Library'!$H$7,'Box Library'!$H$8)))))))</f>
        <v/>
      </c>
      <c r="P136" s="6">
        <f>IF('Product Data'!A136="","",IF(M136="NO BOX FITS","REVIEW - NO STANDARD BOX FITS","OK"))</f>
        <v/>
      </c>
    </row>
    <row r="137">
      <c r="A137" s="13">
        <f>IF('Product Data'!A137="","",'Product Data'!A137)</f>
        <v/>
      </c>
      <c r="B137" s="13">
        <f>IF('Product Data'!A137="","",'Product Data'!B137)</f>
        <v/>
      </c>
      <c r="C137" s="14">
        <f>IF('Product Data'!A137="","",'Product Data'!C137)</f>
        <v/>
      </c>
      <c r="D137" s="14">
        <f>IF('Product Data'!A137="","",'Product Data'!D137)</f>
        <v/>
      </c>
      <c r="E137" s="14">
        <f>IF('Product Data'!A137="","",'Product Data'!E137)</f>
        <v/>
      </c>
      <c r="F137" s="14">
        <f>IF('Product Data'!A137="","",'Product Data'!F137)</f>
        <v/>
      </c>
      <c r="G137" s="9">
        <f>IF('Product Data'!A137="","",C137*D137*E137)</f>
        <v/>
      </c>
      <c r="H137" s="13">
        <f>IF('Product Data'!A137="","",AND($C137&lt;='Box Library'!$C$4,$D137&lt;='Box Library'!$D$4,$E137&lt;='Box Library'!$E$4,$F137&lt;='Box Library'!$F$4))</f>
        <v/>
      </c>
      <c r="I137" s="13">
        <f>IF('Product Data'!A137="","",AND($C137&lt;='Box Library'!$C$5,$D137&lt;='Box Library'!$D$5,$E137&lt;='Box Library'!$E$5,$F137&lt;='Box Library'!$F$5))</f>
        <v/>
      </c>
      <c r="J137" s="13">
        <f>IF('Product Data'!A137="","",AND($C137&lt;='Box Library'!$C$6,$D137&lt;='Box Library'!$D$6,$E137&lt;='Box Library'!$E$6,$F137&lt;='Box Library'!$F$6))</f>
        <v/>
      </c>
      <c r="K137" s="13">
        <f>IF('Product Data'!A137="","",AND($C137&lt;='Box Library'!$C$7,$D137&lt;='Box Library'!$D$7,$E137&lt;='Box Library'!$E$7,$F137&lt;='Box Library'!$F$7))</f>
        <v/>
      </c>
      <c r="L137" s="13">
        <f>IF('Product Data'!A137="","",AND($C137&lt;='Box Library'!$C$8,$D137&lt;='Box Library'!$D$8,$E137&lt;='Box Library'!$E$8,$F137&lt;='Box Library'!$F$8))</f>
        <v/>
      </c>
      <c r="M137" s="13">
        <f>IF('Product Data'!A137="","",IF(H137,'Box Library'!$A$4,IF(I137,'Box Library'!$A$5,IF(J137,'Box Library'!$A$6,IF(K137,'Box Library'!$A$7,IF(L137,'Box Library'!$A$8,"NO BOX FITS"))))))</f>
        <v/>
      </c>
      <c r="N137" s="15">
        <f>IF('Product Data'!A137="","",IF(H137,'Box Library'!$G$4,IF(I137,'Box Library'!$G$5,IF(J137,'Box Library'!$G$6,IF(K137,'Box Library'!$G$7,IF(L137,'Box Library'!$G$8,0))))))</f>
        <v/>
      </c>
      <c r="O137" s="16">
        <f>IF('Product Data'!A137="","",IF(M137="NO BOX FITS",0,G137/(IF(H137,'Box Library'!$H$4,IF(I137,'Box Library'!$H$5,IF(J137,'Box Library'!$H$6,IF(K137,'Box Library'!$H$7,'Box Library'!$H$8)))))))</f>
        <v/>
      </c>
      <c r="P137" s="6">
        <f>IF('Product Data'!A137="","",IF(M137="NO BOX FITS","REVIEW - NO STANDARD BOX FITS","OK"))</f>
        <v/>
      </c>
    </row>
    <row r="138">
      <c r="A138" s="13">
        <f>IF('Product Data'!A138="","",'Product Data'!A138)</f>
        <v/>
      </c>
      <c r="B138" s="13">
        <f>IF('Product Data'!A138="","",'Product Data'!B138)</f>
        <v/>
      </c>
      <c r="C138" s="14">
        <f>IF('Product Data'!A138="","",'Product Data'!C138)</f>
        <v/>
      </c>
      <c r="D138" s="14">
        <f>IF('Product Data'!A138="","",'Product Data'!D138)</f>
        <v/>
      </c>
      <c r="E138" s="14">
        <f>IF('Product Data'!A138="","",'Product Data'!E138)</f>
        <v/>
      </c>
      <c r="F138" s="14">
        <f>IF('Product Data'!A138="","",'Product Data'!F138)</f>
        <v/>
      </c>
      <c r="G138" s="9">
        <f>IF('Product Data'!A138="","",C138*D138*E138)</f>
        <v/>
      </c>
      <c r="H138" s="13">
        <f>IF('Product Data'!A138="","",AND($C138&lt;='Box Library'!$C$4,$D138&lt;='Box Library'!$D$4,$E138&lt;='Box Library'!$E$4,$F138&lt;='Box Library'!$F$4))</f>
        <v/>
      </c>
      <c r="I138" s="13">
        <f>IF('Product Data'!A138="","",AND($C138&lt;='Box Library'!$C$5,$D138&lt;='Box Library'!$D$5,$E138&lt;='Box Library'!$E$5,$F138&lt;='Box Library'!$F$5))</f>
        <v/>
      </c>
      <c r="J138" s="13">
        <f>IF('Product Data'!A138="","",AND($C138&lt;='Box Library'!$C$6,$D138&lt;='Box Library'!$D$6,$E138&lt;='Box Library'!$E$6,$F138&lt;='Box Library'!$F$6))</f>
        <v/>
      </c>
      <c r="K138" s="13">
        <f>IF('Product Data'!A138="","",AND($C138&lt;='Box Library'!$C$7,$D138&lt;='Box Library'!$D$7,$E138&lt;='Box Library'!$E$7,$F138&lt;='Box Library'!$F$7))</f>
        <v/>
      </c>
      <c r="L138" s="13">
        <f>IF('Product Data'!A138="","",AND($C138&lt;='Box Library'!$C$8,$D138&lt;='Box Library'!$D$8,$E138&lt;='Box Library'!$E$8,$F138&lt;='Box Library'!$F$8))</f>
        <v/>
      </c>
      <c r="M138" s="13">
        <f>IF('Product Data'!A138="","",IF(H138,'Box Library'!$A$4,IF(I138,'Box Library'!$A$5,IF(J138,'Box Library'!$A$6,IF(K138,'Box Library'!$A$7,IF(L138,'Box Library'!$A$8,"NO BOX FITS"))))))</f>
        <v/>
      </c>
      <c r="N138" s="15">
        <f>IF('Product Data'!A138="","",IF(H138,'Box Library'!$G$4,IF(I138,'Box Library'!$G$5,IF(J138,'Box Library'!$G$6,IF(K138,'Box Library'!$G$7,IF(L138,'Box Library'!$G$8,0))))))</f>
        <v/>
      </c>
      <c r="O138" s="16">
        <f>IF('Product Data'!A138="","",IF(M138="NO BOX FITS",0,G138/(IF(H138,'Box Library'!$H$4,IF(I138,'Box Library'!$H$5,IF(J138,'Box Library'!$H$6,IF(K138,'Box Library'!$H$7,'Box Library'!$H$8)))))))</f>
        <v/>
      </c>
      <c r="P138" s="6">
        <f>IF('Product Data'!A138="","",IF(M138="NO BOX FITS","REVIEW - NO STANDARD BOX FITS","OK"))</f>
        <v/>
      </c>
    </row>
    <row r="139">
      <c r="A139" s="13">
        <f>IF('Product Data'!A139="","",'Product Data'!A139)</f>
        <v/>
      </c>
      <c r="B139" s="13">
        <f>IF('Product Data'!A139="","",'Product Data'!B139)</f>
        <v/>
      </c>
      <c r="C139" s="14">
        <f>IF('Product Data'!A139="","",'Product Data'!C139)</f>
        <v/>
      </c>
      <c r="D139" s="14">
        <f>IF('Product Data'!A139="","",'Product Data'!D139)</f>
        <v/>
      </c>
      <c r="E139" s="14">
        <f>IF('Product Data'!A139="","",'Product Data'!E139)</f>
        <v/>
      </c>
      <c r="F139" s="14">
        <f>IF('Product Data'!A139="","",'Product Data'!F139)</f>
        <v/>
      </c>
      <c r="G139" s="9">
        <f>IF('Product Data'!A139="","",C139*D139*E139)</f>
        <v/>
      </c>
      <c r="H139" s="13">
        <f>IF('Product Data'!A139="","",AND($C139&lt;='Box Library'!$C$4,$D139&lt;='Box Library'!$D$4,$E139&lt;='Box Library'!$E$4,$F139&lt;='Box Library'!$F$4))</f>
        <v/>
      </c>
      <c r="I139" s="13">
        <f>IF('Product Data'!A139="","",AND($C139&lt;='Box Library'!$C$5,$D139&lt;='Box Library'!$D$5,$E139&lt;='Box Library'!$E$5,$F139&lt;='Box Library'!$F$5))</f>
        <v/>
      </c>
      <c r="J139" s="13">
        <f>IF('Product Data'!A139="","",AND($C139&lt;='Box Library'!$C$6,$D139&lt;='Box Library'!$D$6,$E139&lt;='Box Library'!$E$6,$F139&lt;='Box Library'!$F$6))</f>
        <v/>
      </c>
      <c r="K139" s="13">
        <f>IF('Product Data'!A139="","",AND($C139&lt;='Box Library'!$C$7,$D139&lt;='Box Library'!$D$7,$E139&lt;='Box Library'!$E$7,$F139&lt;='Box Library'!$F$7))</f>
        <v/>
      </c>
      <c r="L139" s="13">
        <f>IF('Product Data'!A139="","",AND($C139&lt;='Box Library'!$C$8,$D139&lt;='Box Library'!$D$8,$E139&lt;='Box Library'!$E$8,$F139&lt;='Box Library'!$F$8))</f>
        <v/>
      </c>
      <c r="M139" s="13">
        <f>IF('Product Data'!A139="","",IF(H139,'Box Library'!$A$4,IF(I139,'Box Library'!$A$5,IF(J139,'Box Library'!$A$6,IF(K139,'Box Library'!$A$7,IF(L139,'Box Library'!$A$8,"NO BOX FITS"))))))</f>
        <v/>
      </c>
      <c r="N139" s="15">
        <f>IF('Product Data'!A139="","",IF(H139,'Box Library'!$G$4,IF(I139,'Box Library'!$G$5,IF(J139,'Box Library'!$G$6,IF(K139,'Box Library'!$G$7,IF(L139,'Box Library'!$G$8,0))))))</f>
        <v/>
      </c>
      <c r="O139" s="16">
        <f>IF('Product Data'!A139="","",IF(M139="NO BOX FITS",0,G139/(IF(H139,'Box Library'!$H$4,IF(I139,'Box Library'!$H$5,IF(J139,'Box Library'!$H$6,IF(K139,'Box Library'!$H$7,'Box Library'!$H$8)))))))</f>
        <v/>
      </c>
      <c r="P139" s="6">
        <f>IF('Product Data'!A139="","",IF(M139="NO BOX FITS","REVIEW - NO STANDARD BOX FITS","OK"))</f>
        <v/>
      </c>
    </row>
    <row r="140">
      <c r="A140" s="13">
        <f>IF('Product Data'!A140="","",'Product Data'!A140)</f>
        <v/>
      </c>
      <c r="B140" s="13">
        <f>IF('Product Data'!A140="","",'Product Data'!B140)</f>
        <v/>
      </c>
      <c r="C140" s="14">
        <f>IF('Product Data'!A140="","",'Product Data'!C140)</f>
        <v/>
      </c>
      <c r="D140" s="14">
        <f>IF('Product Data'!A140="","",'Product Data'!D140)</f>
        <v/>
      </c>
      <c r="E140" s="14">
        <f>IF('Product Data'!A140="","",'Product Data'!E140)</f>
        <v/>
      </c>
      <c r="F140" s="14">
        <f>IF('Product Data'!A140="","",'Product Data'!F140)</f>
        <v/>
      </c>
      <c r="G140" s="9">
        <f>IF('Product Data'!A140="","",C140*D140*E140)</f>
        <v/>
      </c>
      <c r="H140" s="13">
        <f>IF('Product Data'!A140="","",AND($C140&lt;='Box Library'!$C$4,$D140&lt;='Box Library'!$D$4,$E140&lt;='Box Library'!$E$4,$F140&lt;='Box Library'!$F$4))</f>
        <v/>
      </c>
      <c r="I140" s="13">
        <f>IF('Product Data'!A140="","",AND($C140&lt;='Box Library'!$C$5,$D140&lt;='Box Library'!$D$5,$E140&lt;='Box Library'!$E$5,$F140&lt;='Box Library'!$F$5))</f>
        <v/>
      </c>
      <c r="J140" s="13">
        <f>IF('Product Data'!A140="","",AND($C140&lt;='Box Library'!$C$6,$D140&lt;='Box Library'!$D$6,$E140&lt;='Box Library'!$E$6,$F140&lt;='Box Library'!$F$6))</f>
        <v/>
      </c>
      <c r="K140" s="13">
        <f>IF('Product Data'!A140="","",AND($C140&lt;='Box Library'!$C$7,$D140&lt;='Box Library'!$D$7,$E140&lt;='Box Library'!$E$7,$F140&lt;='Box Library'!$F$7))</f>
        <v/>
      </c>
      <c r="L140" s="13">
        <f>IF('Product Data'!A140="","",AND($C140&lt;='Box Library'!$C$8,$D140&lt;='Box Library'!$D$8,$E140&lt;='Box Library'!$E$8,$F140&lt;='Box Library'!$F$8))</f>
        <v/>
      </c>
      <c r="M140" s="13">
        <f>IF('Product Data'!A140="","",IF(H140,'Box Library'!$A$4,IF(I140,'Box Library'!$A$5,IF(J140,'Box Library'!$A$6,IF(K140,'Box Library'!$A$7,IF(L140,'Box Library'!$A$8,"NO BOX FITS"))))))</f>
        <v/>
      </c>
      <c r="N140" s="15">
        <f>IF('Product Data'!A140="","",IF(H140,'Box Library'!$G$4,IF(I140,'Box Library'!$G$5,IF(J140,'Box Library'!$G$6,IF(K140,'Box Library'!$G$7,IF(L140,'Box Library'!$G$8,0))))))</f>
        <v/>
      </c>
      <c r="O140" s="16">
        <f>IF('Product Data'!A140="","",IF(M140="NO BOX FITS",0,G140/(IF(H140,'Box Library'!$H$4,IF(I140,'Box Library'!$H$5,IF(J140,'Box Library'!$H$6,IF(K140,'Box Library'!$H$7,'Box Library'!$H$8)))))))</f>
        <v/>
      </c>
      <c r="P140" s="6">
        <f>IF('Product Data'!A140="","",IF(M140="NO BOX FITS","REVIEW - NO STANDARD BOX FITS","OK"))</f>
        <v/>
      </c>
    </row>
    <row r="141">
      <c r="A141" s="13">
        <f>IF('Product Data'!A141="","",'Product Data'!A141)</f>
        <v/>
      </c>
      <c r="B141" s="13">
        <f>IF('Product Data'!A141="","",'Product Data'!B141)</f>
        <v/>
      </c>
      <c r="C141" s="14">
        <f>IF('Product Data'!A141="","",'Product Data'!C141)</f>
        <v/>
      </c>
      <c r="D141" s="14">
        <f>IF('Product Data'!A141="","",'Product Data'!D141)</f>
        <v/>
      </c>
      <c r="E141" s="14">
        <f>IF('Product Data'!A141="","",'Product Data'!E141)</f>
        <v/>
      </c>
      <c r="F141" s="14">
        <f>IF('Product Data'!A141="","",'Product Data'!F141)</f>
        <v/>
      </c>
      <c r="G141" s="9">
        <f>IF('Product Data'!A141="","",C141*D141*E141)</f>
        <v/>
      </c>
      <c r="H141" s="13">
        <f>IF('Product Data'!A141="","",AND($C141&lt;='Box Library'!$C$4,$D141&lt;='Box Library'!$D$4,$E141&lt;='Box Library'!$E$4,$F141&lt;='Box Library'!$F$4))</f>
        <v/>
      </c>
      <c r="I141" s="13">
        <f>IF('Product Data'!A141="","",AND($C141&lt;='Box Library'!$C$5,$D141&lt;='Box Library'!$D$5,$E141&lt;='Box Library'!$E$5,$F141&lt;='Box Library'!$F$5))</f>
        <v/>
      </c>
      <c r="J141" s="13">
        <f>IF('Product Data'!A141="","",AND($C141&lt;='Box Library'!$C$6,$D141&lt;='Box Library'!$D$6,$E141&lt;='Box Library'!$E$6,$F141&lt;='Box Library'!$F$6))</f>
        <v/>
      </c>
      <c r="K141" s="13">
        <f>IF('Product Data'!A141="","",AND($C141&lt;='Box Library'!$C$7,$D141&lt;='Box Library'!$D$7,$E141&lt;='Box Library'!$E$7,$F141&lt;='Box Library'!$F$7))</f>
        <v/>
      </c>
      <c r="L141" s="13">
        <f>IF('Product Data'!A141="","",AND($C141&lt;='Box Library'!$C$8,$D141&lt;='Box Library'!$D$8,$E141&lt;='Box Library'!$E$8,$F141&lt;='Box Library'!$F$8))</f>
        <v/>
      </c>
      <c r="M141" s="13">
        <f>IF('Product Data'!A141="","",IF(H141,'Box Library'!$A$4,IF(I141,'Box Library'!$A$5,IF(J141,'Box Library'!$A$6,IF(K141,'Box Library'!$A$7,IF(L141,'Box Library'!$A$8,"NO BOX FITS"))))))</f>
        <v/>
      </c>
      <c r="N141" s="15">
        <f>IF('Product Data'!A141="","",IF(H141,'Box Library'!$G$4,IF(I141,'Box Library'!$G$5,IF(J141,'Box Library'!$G$6,IF(K141,'Box Library'!$G$7,IF(L141,'Box Library'!$G$8,0))))))</f>
        <v/>
      </c>
      <c r="O141" s="16">
        <f>IF('Product Data'!A141="","",IF(M141="NO BOX FITS",0,G141/(IF(H141,'Box Library'!$H$4,IF(I141,'Box Library'!$H$5,IF(J141,'Box Library'!$H$6,IF(K141,'Box Library'!$H$7,'Box Library'!$H$8)))))))</f>
        <v/>
      </c>
      <c r="P141" s="6">
        <f>IF('Product Data'!A141="","",IF(M141="NO BOX FITS","REVIEW - NO STANDARD BOX FITS","OK"))</f>
        <v/>
      </c>
    </row>
    <row r="142">
      <c r="A142" s="13">
        <f>IF('Product Data'!A142="","",'Product Data'!A142)</f>
        <v/>
      </c>
      <c r="B142" s="13">
        <f>IF('Product Data'!A142="","",'Product Data'!B142)</f>
        <v/>
      </c>
      <c r="C142" s="14">
        <f>IF('Product Data'!A142="","",'Product Data'!C142)</f>
        <v/>
      </c>
      <c r="D142" s="14">
        <f>IF('Product Data'!A142="","",'Product Data'!D142)</f>
        <v/>
      </c>
      <c r="E142" s="14">
        <f>IF('Product Data'!A142="","",'Product Data'!E142)</f>
        <v/>
      </c>
      <c r="F142" s="14">
        <f>IF('Product Data'!A142="","",'Product Data'!F142)</f>
        <v/>
      </c>
      <c r="G142" s="9">
        <f>IF('Product Data'!A142="","",C142*D142*E142)</f>
        <v/>
      </c>
      <c r="H142" s="13">
        <f>IF('Product Data'!A142="","",AND($C142&lt;='Box Library'!$C$4,$D142&lt;='Box Library'!$D$4,$E142&lt;='Box Library'!$E$4,$F142&lt;='Box Library'!$F$4))</f>
        <v/>
      </c>
      <c r="I142" s="13">
        <f>IF('Product Data'!A142="","",AND($C142&lt;='Box Library'!$C$5,$D142&lt;='Box Library'!$D$5,$E142&lt;='Box Library'!$E$5,$F142&lt;='Box Library'!$F$5))</f>
        <v/>
      </c>
      <c r="J142" s="13">
        <f>IF('Product Data'!A142="","",AND($C142&lt;='Box Library'!$C$6,$D142&lt;='Box Library'!$D$6,$E142&lt;='Box Library'!$E$6,$F142&lt;='Box Library'!$F$6))</f>
        <v/>
      </c>
      <c r="K142" s="13">
        <f>IF('Product Data'!A142="","",AND($C142&lt;='Box Library'!$C$7,$D142&lt;='Box Library'!$D$7,$E142&lt;='Box Library'!$E$7,$F142&lt;='Box Library'!$F$7))</f>
        <v/>
      </c>
      <c r="L142" s="13">
        <f>IF('Product Data'!A142="","",AND($C142&lt;='Box Library'!$C$8,$D142&lt;='Box Library'!$D$8,$E142&lt;='Box Library'!$E$8,$F142&lt;='Box Library'!$F$8))</f>
        <v/>
      </c>
      <c r="M142" s="13">
        <f>IF('Product Data'!A142="","",IF(H142,'Box Library'!$A$4,IF(I142,'Box Library'!$A$5,IF(J142,'Box Library'!$A$6,IF(K142,'Box Library'!$A$7,IF(L142,'Box Library'!$A$8,"NO BOX FITS"))))))</f>
        <v/>
      </c>
      <c r="N142" s="15">
        <f>IF('Product Data'!A142="","",IF(H142,'Box Library'!$G$4,IF(I142,'Box Library'!$G$5,IF(J142,'Box Library'!$G$6,IF(K142,'Box Library'!$G$7,IF(L142,'Box Library'!$G$8,0))))))</f>
        <v/>
      </c>
      <c r="O142" s="16">
        <f>IF('Product Data'!A142="","",IF(M142="NO BOX FITS",0,G142/(IF(H142,'Box Library'!$H$4,IF(I142,'Box Library'!$H$5,IF(J142,'Box Library'!$H$6,IF(K142,'Box Library'!$H$7,'Box Library'!$H$8)))))))</f>
        <v/>
      </c>
      <c r="P142" s="6">
        <f>IF('Product Data'!A142="","",IF(M142="NO BOX FITS","REVIEW - NO STANDARD BOX FITS","OK"))</f>
        <v/>
      </c>
    </row>
    <row r="143">
      <c r="A143" s="13">
        <f>IF('Product Data'!A143="","",'Product Data'!A143)</f>
        <v/>
      </c>
      <c r="B143" s="13">
        <f>IF('Product Data'!A143="","",'Product Data'!B143)</f>
        <v/>
      </c>
      <c r="C143" s="14">
        <f>IF('Product Data'!A143="","",'Product Data'!C143)</f>
        <v/>
      </c>
      <c r="D143" s="14">
        <f>IF('Product Data'!A143="","",'Product Data'!D143)</f>
        <v/>
      </c>
      <c r="E143" s="14">
        <f>IF('Product Data'!A143="","",'Product Data'!E143)</f>
        <v/>
      </c>
      <c r="F143" s="14">
        <f>IF('Product Data'!A143="","",'Product Data'!F143)</f>
        <v/>
      </c>
      <c r="G143" s="9">
        <f>IF('Product Data'!A143="","",C143*D143*E143)</f>
        <v/>
      </c>
      <c r="H143" s="13">
        <f>IF('Product Data'!A143="","",AND($C143&lt;='Box Library'!$C$4,$D143&lt;='Box Library'!$D$4,$E143&lt;='Box Library'!$E$4,$F143&lt;='Box Library'!$F$4))</f>
        <v/>
      </c>
      <c r="I143" s="13">
        <f>IF('Product Data'!A143="","",AND($C143&lt;='Box Library'!$C$5,$D143&lt;='Box Library'!$D$5,$E143&lt;='Box Library'!$E$5,$F143&lt;='Box Library'!$F$5))</f>
        <v/>
      </c>
      <c r="J143" s="13">
        <f>IF('Product Data'!A143="","",AND($C143&lt;='Box Library'!$C$6,$D143&lt;='Box Library'!$D$6,$E143&lt;='Box Library'!$E$6,$F143&lt;='Box Library'!$F$6))</f>
        <v/>
      </c>
      <c r="K143" s="13">
        <f>IF('Product Data'!A143="","",AND($C143&lt;='Box Library'!$C$7,$D143&lt;='Box Library'!$D$7,$E143&lt;='Box Library'!$E$7,$F143&lt;='Box Library'!$F$7))</f>
        <v/>
      </c>
      <c r="L143" s="13">
        <f>IF('Product Data'!A143="","",AND($C143&lt;='Box Library'!$C$8,$D143&lt;='Box Library'!$D$8,$E143&lt;='Box Library'!$E$8,$F143&lt;='Box Library'!$F$8))</f>
        <v/>
      </c>
      <c r="M143" s="13">
        <f>IF('Product Data'!A143="","",IF(H143,'Box Library'!$A$4,IF(I143,'Box Library'!$A$5,IF(J143,'Box Library'!$A$6,IF(K143,'Box Library'!$A$7,IF(L143,'Box Library'!$A$8,"NO BOX FITS"))))))</f>
        <v/>
      </c>
      <c r="N143" s="15">
        <f>IF('Product Data'!A143="","",IF(H143,'Box Library'!$G$4,IF(I143,'Box Library'!$G$5,IF(J143,'Box Library'!$G$6,IF(K143,'Box Library'!$G$7,IF(L143,'Box Library'!$G$8,0))))))</f>
        <v/>
      </c>
      <c r="O143" s="16">
        <f>IF('Product Data'!A143="","",IF(M143="NO BOX FITS",0,G143/(IF(H143,'Box Library'!$H$4,IF(I143,'Box Library'!$H$5,IF(J143,'Box Library'!$H$6,IF(K143,'Box Library'!$H$7,'Box Library'!$H$8)))))))</f>
        <v/>
      </c>
      <c r="P143" s="6">
        <f>IF('Product Data'!A143="","",IF(M143="NO BOX FITS","REVIEW - NO STANDARD BOX FITS","OK"))</f>
        <v/>
      </c>
    </row>
    <row r="144">
      <c r="A144" s="13">
        <f>IF('Product Data'!A144="","",'Product Data'!A144)</f>
        <v/>
      </c>
      <c r="B144" s="13">
        <f>IF('Product Data'!A144="","",'Product Data'!B144)</f>
        <v/>
      </c>
      <c r="C144" s="14">
        <f>IF('Product Data'!A144="","",'Product Data'!C144)</f>
        <v/>
      </c>
      <c r="D144" s="14">
        <f>IF('Product Data'!A144="","",'Product Data'!D144)</f>
        <v/>
      </c>
      <c r="E144" s="14">
        <f>IF('Product Data'!A144="","",'Product Data'!E144)</f>
        <v/>
      </c>
      <c r="F144" s="14">
        <f>IF('Product Data'!A144="","",'Product Data'!F144)</f>
        <v/>
      </c>
      <c r="G144" s="9">
        <f>IF('Product Data'!A144="","",C144*D144*E144)</f>
        <v/>
      </c>
      <c r="H144" s="13">
        <f>IF('Product Data'!A144="","",AND($C144&lt;='Box Library'!$C$4,$D144&lt;='Box Library'!$D$4,$E144&lt;='Box Library'!$E$4,$F144&lt;='Box Library'!$F$4))</f>
        <v/>
      </c>
      <c r="I144" s="13">
        <f>IF('Product Data'!A144="","",AND($C144&lt;='Box Library'!$C$5,$D144&lt;='Box Library'!$D$5,$E144&lt;='Box Library'!$E$5,$F144&lt;='Box Library'!$F$5))</f>
        <v/>
      </c>
      <c r="J144" s="13">
        <f>IF('Product Data'!A144="","",AND($C144&lt;='Box Library'!$C$6,$D144&lt;='Box Library'!$D$6,$E144&lt;='Box Library'!$E$6,$F144&lt;='Box Library'!$F$6))</f>
        <v/>
      </c>
      <c r="K144" s="13">
        <f>IF('Product Data'!A144="","",AND($C144&lt;='Box Library'!$C$7,$D144&lt;='Box Library'!$D$7,$E144&lt;='Box Library'!$E$7,$F144&lt;='Box Library'!$F$7))</f>
        <v/>
      </c>
      <c r="L144" s="13">
        <f>IF('Product Data'!A144="","",AND($C144&lt;='Box Library'!$C$8,$D144&lt;='Box Library'!$D$8,$E144&lt;='Box Library'!$E$8,$F144&lt;='Box Library'!$F$8))</f>
        <v/>
      </c>
      <c r="M144" s="13">
        <f>IF('Product Data'!A144="","",IF(H144,'Box Library'!$A$4,IF(I144,'Box Library'!$A$5,IF(J144,'Box Library'!$A$6,IF(K144,'Box Library'!$A$7,IF(L144,'Box Library'!$A$8,"NO BOX FITS"))))))</f>
        <v/>
      </c>
      <c r="N144" s="15">
        <f>IF('Product Data'!A144="","",IF(H144,'Box Library'!$G$4,IF(I144,'Box Library'!$G$5,IF(J144,'Box Library'!$G$6,IF(K144,'Box Library'!$G$7,IF(L144,'Box Library'!$G$8,0))))))</f>
        <v/>
      </c>
      <c r="O144" s="16">
        <f>IF('Product Data'!A144="","",IF(M144="NO BOX FITS",0,G144/(IF(H144,'Box Library'!$H$4,IF(I144,'Box Library'!$H$5,IF(J144,'Box Library'!$H$6,IF(K144,'Box Library'!$H$7,'Box Library'!$H$8)))))))</f>
        <v/>
      </c>
      <c r="P144" s="6">
        <f>IF('Product Data'!A144="","",IF(M144="NO BOX FITS","REVIEW - NO STANDARD BOX FITS","OK"))</f>
        <v/>
      </c>
    </row>
    <row r="145">
      <c r="A145" s="13">
        <f>IF('Product Data'!A145="","",'Product Data'!A145)</f>
        <v/>
      </c>
      <c r="B145" s="13">
        <f>IF('Product Data'!A145="","",'Product Data'!B145)</f>
        <v/>
      </c>
      <c r="C145" s="14">
        <f>IF('Product Data'!A145="","",'Product Data'!C145)</f>
        <v/>
      </c>
      <c r="D145" s="14">
        <f>IF('Product Data'!A145="","",'Product Data'!D145)</f>
        <v/>
      </c>
      <c r="E145" s="14">
        <f>IF('Product Data'!A145="","",'Product Data'!E145)</f>
        <v/>
      </c>
      <c r="F145" s="14">
        <f>IF('Product Data'!A145="","",'Product Data'!F145)</f>
        <v/>
      </c>
      <c r="G145" s="9">
        <f>IF('Product Data'!A145="","",C145*D145*E145)</f>
        <v/>
      </c>
      <c r="H145" s="13">
        <f>IF('Product Data'!A145="","",AND($C145&lt;='Box Library'!$C$4,$D145&lt;='Box Library'!$D$4,$E145&lt;='Box Library'!$E$4,$F145&lt;='Box Library'!$F$4))</f>
        <v/>
      </c>
      <c r="I145" s="13">
        <f>IF('Product Data'!A145="","",AND($C145&lt;='Box Library'!$C$5,$D145&lt;='Box Library'!$D$5,$E145&lt;='Box Library'!$E$5,$F145&lt;='Box Library'!$F$5))</f>
        <v/>
      </c>
      <c r="J145" s="13">
        <f>IF('Product Data'!A145="","",AND($C145&lt;='Box Library'!$C$6,$D145&lt;='Box Library'!$D$6,$E145&lt;='Box Library'!$E$6,$F145&lt;='Box Library'!$F$6))</f>
        <v/>
      </c>
      <c r="K145" s="13">
        <f>IF('Product Data'!A145="","",AND($C145&lt;='Box Library'!$C$7,$D145&lt;='Box Library'!$D$7,$E145&lt;='Box Library'!$E$7,$F145&lt;='Box Library'!$F$7))</f>
        <v/>
      </c>
      <c r="L145" s="13">
        <f>IF('Product Data'!A145="","",AND($C145&lt;='Box Library'!$C$8,$D145&lt;='Box Library'!$D$8,$E145&lt;='Box Library'!$E$8,$F145&lt;='Box Library'!$F$8))</f>
        <v/>
      </c>
      <c r="M145" s="13">
        <f>IF('Product Data'!A145="","",IF(H145,'Box Library'!$A$4,IF(I145,'Box Library'!$A$5,IF(J145,'Box Library'!$A$6,IF(K145,'Box Library'!$A$7,IF(L145,'Box Library'!$A$8,"NO BOX FITS"))))))</f>
        <v/>
      </c>
      <c r="N145" s="15">
        <f>IF('Product Data'!A145="","",IF(H145,'Box Library'!$G$4,IF(I145,'Box Library'!$G$5,IF(J145,'Box Library'!$G$6,IF(K145,'Box Library'!$G$7,IF(L145,'Box Library'!$G$8,0))))))</f>
        <v/>
      </c>
      <c r="O145" s="16">
        <f>IF('Product Data'!A145="","",IF(M145="NO BOX FITS",0,G145/(IF(H145,'Box Library'!$H$4,IF(I145,'Box Library'!$H$5,IF(J145,'Box Library'!$H$6,IF(K145,'Box Library'!$H$7,'Box Library'!$H$8)))))))</f>
        <v/>
      </c>
      <c r="P145" s="6">
        <f>IF('Product Data'!A145="","",IF(M145="NO BOX FITS","REVIEW - NO STANDARD BOX FITS","OK"))</f>
        <v/>
      </c>
    </row>
    <row r="146">
      <c r="A146" s="13">
        <f>IF('Product Data'!A146="","",'Product Data'!A146)</f>
        <v/>
      </c>
      <c r="B146" s="13">
        <f>IF('Product Data'!A146="","",'Product Data'!B146)</f>
        <v/>
      </c>
      <c r="C146" s="14">
        <f>IF('Product Data'!A146="","",'Product Data'!C146)</f>
        <v/>
      </c>
      <c r="D146" s="14">
        <f>IF('Product Data'!A146="","",'Product Data'!D146)</f>
        <v/>
      </c>
      <c r="E146" s="14">
        <f>IF('Product Data'!A146="","",'Product Data'!E146)</f>
        <v/>
      </c>
      <c r="F146" s="14">
        <f>IF('Product Data'!A146="","",'Product Data'!F146)</f>
        <v/>
      </c>
      <c r="G146" s="9">
        <f>IF('Product Data'!A146="","",C146*D146*E146)</f>
        <v/>
      </c>
      <c r="H146" s="13">
        <f>IF('Product Data'!A146="","",AND($C146&lt;='Box Library'!$C$4,$D146&lt;='Box Library'!$D$4,$E146&lt;='Box Library'!$E$4,$F146&lt;='Box Library'!$F$4))</f>
        <v/>
      </c>
      <c r="I146" s="13">
        <f>IF('Product Data'!A146="","",AND($C146&lt;='Box Library'!$C$5,$D146&lt;='Box Library'!$D$5,$E146&lt;='Box Library'!$E$5,$F146&lt;='Box Library'!$F$5))</f>
        <v/>
      </c>
      <c r="J146" s="13">
        <f>IF('Product Data'!A146="","",AND($C146&lt;='Box Library'!$C$6,$D146&lt;='Box Library'!$D$6,$E146&lt;='Box Library'!$E$6,$F146&lt;='Box Library'!$F$6))</f>
        <v/>
      </c>
      <c r="K146" s="13">
        <f>IF('Product Data'!A146="","",AND($C146&lt;='Box Library'!$C$7,$D146&lt;='Box Library'!$D$7,$E146&lt;='Box Library'!$E$7,$F146&lt;='Box Library'!$F$7))</f>
        <v/>
      </c>
      <c r="L146" s="13">
        <f>IF('Product Data'!A146="","",AND($C146&lt;='Box Library'!$C$8,$D146&lt;='Box Library'!$D$8,$E146&lt;='Box Library'!$E$8,$F146&lt;='Box Library'!$F$8))</f>
        <v/>
      </c>
      <c r="M146" s="13">
        <f>IF('Product Data'!A146="","",IF(H146,'Box Library'!$A$4,IF(I146,'Box Library'!$A$5,IF(J146,'Box Library'!$A$6,IF(K146,'Box Library'!$A$7,IF(L146,'Box Library'!$A$8,"NO BOX FITS"))))))</f>
        <v/>
      </c>
      <c r="N146" s="15">
        <f>IF('Product Data'!A146="","",IF(H146,'Box Library'!$G$4,IF(I146,'Box Library'!$G$5,IF(J146,'Box Library'!$G$6,IF(K146,'Box Library'!$G$7,IF(L146,'Box Library'!$G$8,0))))))</f>
        <v/>
      </c>
      <c r="O146" s="16">
        <f>IF('Product Data'!A146="","",IF(M146="NO BOX FITS",0,G146/(IF(H146,'Box Library'!$H$4,IF(I146,'Box Library'!$H$5,IF(J146,'Box Library'!$H$6,IF(K146,'Box Library'!$H$7,'Box Library'!$H$8)))))))</f>
        <v/>
      </c>
      <c r="P146" s="6">
        <f>IF('Product Data'!A146="","",IF(M146="NO BOX FITS","REVIEW - NO STANDARD BOX FITS","OK"))</f>
        <v/>
      </c>
    </row>
    <row r="147">
      <c r="A147" s="13">
        <f>IF('Product Data'!A147="","",'Product Data'!A147)</f>
        <v/>
      </c>
      <c r="B147" s="13">
        <f>IF('Product Data'!A147="","",'Product Data'!B147)</f>
        <v/>
      </c>
      <c r="C147" s="14">
        <f>IF('Product Data'!A147="","",'Product Data'!C147)</f>
        <v/>
      </c>
      <c r="D147" s="14">
        <f>IF('Product Data'!A147="","",'Product Data'!D147)</f>
        <v/>
      </c>
      <c r="E147" s="14">
        <f>IF('Product Data'!A147="","",'Product Data'!E147)</f>
        <v/>
      </c>
      <c r="F147" s="14">
        <f>IF('Product Data'!A147="","",'Product Data'!F147)</f>
        <v/>
      </c>
      <c r="G147" s="9">
        <f>IF('Product Data'!A147="","",C147*D147*E147)</f>
        <v/>
      </c>
      <c r="H147" s="13">
        <f>IF('Product Data'!A147="","",AND($C147&lt;='Box Library'!$C$4,$D147&lt;='Box Library'!$D$4,$E147&lt;='Box Library'!$E$4,$F147&lt;='Box Library'!$F$4))</f>
        <v/>
      </c>
      <c r="I147" s="13">
        <f>IF('Product Data'!A147="","",AND($C147&lt;='Box Library'!$C$5,$D147&lt;='Box Library'!$D$5,$E147&lt;='Box Library'!$E$5,$F147&lt;='Box Library'!$F$5))</f>
        <v/>
      </c>
      <c r="J147" s="13">
        <f>IF('Product Data'!A147="","",AND($C147&lt;='Box Library'!$C$6,$D147&lt;='Box Library'!$D$6,$E147&lt;='Box Library'!$E$6,$F147&lt;='Box Library'!$F$6))</f>
        <v/>
      </c>
      <c r="K147" s="13">
        <f>IF('Product Data'!A147="","",AND($C147&lt;='Box Library'!$C$7,$D147&lt;='Box Library'!$D$7,$E147&lt;='Box Library'!$E$7,$F147&lt;='Box Library'!$F$7))</f>
        <v/>
      </c>
      <c r="L147" s="13">
        <f>IF('Product Data'!A147="","",AND($C147&lt;='Box Library'!$C$8,$D147&lt;='Box Library'!$D$8,$E147&lt;='Box Library'!$E$8,$F147&lt;='Box Library'!$F$8))</f>
        <v/>
      </c>
      <c r="M147" s="13">
        <f>IF('Product Data'!A147="","",IF(H147,'Box Library'!$A$4,IF(I147,'Box Library'!$A$5,IF(J147,'Box Library'!$A$6,IF(K147,'Box Library'!$A$7,IF(L147,'Box Library'!$A$8,"NO BOX FITS"))))))</f>
        <v/>
      </c>
      <c r="N147" s="15">
        <f>IF('Product Data'!A147="","",IF(H147,'Box Library'!$G$4,IF(I147,'Box Library'!$G$5,IF(J147,'Box Library'!$G$6,IF(K147,'Box Library'!$G$7,IF(L147,'Box Library'!$G$8,0))))))</f>
        <v/>
      </c>
      <c r="O147" s="16">
        <f>IF('Product Data'!A147="","",IF(M147="NO BOX FITS",0,G147/(IF(H147,'Box Library'!$H$4,IF(I147,'Box Library'!$H$5,IF(J147,'Box Library'!$H$6,IF(K147,'Box Library'!$H$7,'Box Library'!$H$8)))))))</f>
        <v/>
      </c>
      <c r="P147" s="6">
        <f>IF('Product Data'!A147="","",IF(M147="NO BOX FITS","REVIEW - NO STANDARD BOX FITS","OK"))</f>
        <v/>
      </c>
    </row>
    <row r="148">
      <c r="A148" s="13">
        <f>IF('Product Data'!A148="","",'Product Data'!A148)</f>
        <v/>
      </c>
      <c r="B148" s="13">
        <f>IF('Product Data'!A148="","",'Product Data'!B148)</f>
        <v/>
      </c>
      <c r="C148" s="14">
        <f>IF('Product Data'!A148="","",'Product Data'!C148)</f>
        <v/>
      </c>
      <c r="D148" s="14">
        <f>IF('Product Data'!A148="","",'Product Data'!D148)</f>
        <v/>
      </c>
      <c r="E148" s="14">
        <f>IF('Product Data'!A148="","",'Product Data'!E148)</f>
        <v/>
      </c>
      <c r="F148" s="14">
        <f>IF('Product Data'!A148="","",'Product Data'!F148)</f>
        <v/>
      </c>
      <c r="G148" s="9">
        <f>IF('Product Data'!A148="","",C148*D148*E148)</f>
        <v/>
      </c>
      <c r="H148" s="13">
        <f>IF('Product Data'!A148="","",AND($C148&lt;='Box Library'!$C$4,$D148&lt;='Box Library'!$D$4,$E148&lt;='Box Library'!$E$4,$F148&lt;='Box Library'!$F$4))</f>
        <v/>
      </c>
      <c r="I148" s="13">
        <f>IF('Product Data'!A148="","",AND($C148&lt;='Box Library'!$C$5,$D148&lt;='Box Library'!$D$5,$E148&lt;='Box Library'!$E$5,$F148&lt;='Box Library'!$F$5))</f>
        <v/>
      </c>
      <c r="J148" s="13">
        <f>IF('Product Data'!A148="","",AND($C148&lt;='Box Library'!$C$6,$D148&lt;='Box Library'!$D$6,$E148&lt;='Box Library'!$E$6,$F148&lt;='Box Library'!$F$6))</f>
        <v/>
      </c>
      <c r="K148" s="13">
        <f>IF('Product Data'!A148="","",AND($C148&lt;='Box Library'!$C$7,$D148&lt;='Box Library'!$D$7,$E148&lt;='Box Library'!$E$7,$F148&lt;='Box Library'!$F$7))</f>
        <v/>
      </c>
      <c r="L148" s="13">
        <f>IF('Product Data'!A148="","",AND($C148&lt;='Box Library'!$C$8,$D148&lt;='Box Library'!$D$8,$E148&lt;='Box Library'!$E$8,$F148&lt;='Box Library'!$F$8))</f>
        <v/>
      </c>
      <c r="M148" s="13">
        <f>IF('Product Data'!A148="","",IF(H148,'Box Library'!$A$4,IF(I148,'Box Library'!$A$5,IF(J148,'Box Library'!$A$6,IF(K148,'Box Library'!$A$7,IF(L148,'Box Library'!$A$8,"NO BOX FITS"))))))</f>
        <v/>
      </c>
      <c r="N148" s="15">
        <f>IF('Product Data'!A148="","",IF(H148,'Box Library'!$G$4,IF(I148,'Box Library'!$G$5,IF(J148,'Box Library'!$G$6,IF(K148,'Box Library'!$G$7,IF(L148,'Box Library'!$G$8,0))))))</f>
        <v/>
      </c>
      <c r="O148" s="16">
        <f>IF('Product Data'!A148="","",IF(M148="NO BOX FITS",0,G148/(IF(H148,'Box Library'!$H$4,IF(I148,'Box Library'!$H$5,IF(J148,'Box Library'!$H$6,IF(K148,'Box Library'!$H$7,'Box Library'!$H$8)))))))</f>
        <v/>
      </c>
      <c r="P148" s="6">
        <f>IF('Product Data'!A148="","",IF(M148="NO BOX FITS","REVIEW - NO STANDARD BOX FITS","OK"))</f>
        <v/>
      </c>
    </row>
    <row r="149">
      <c r="A149" s="13">
        <f>IF('Product Data'!A149="","",'Product Data'!A149)</f>
        <v/>
      </c>
      <c r="B149" s="13">
        <f>IF('Product Data'!A149="","",'Product Data'!B149)</f>
        <v/>
      </c>
      <c r="C149" s="14">
        <f>IF('Product Data'!A149="","",'Product Data'!C149)</f>
        <v/>
      </c>
      <c r="D149" s="14">
        <f>IF('Product Data'!A149="","",'Product Data'!D149)</f>
        <v/>
      </c>
      <c r="E149" s="14">
        <f>IF('Product Data'!A149="","",'Product Data'!E149)</f>
        <v/>
      </c>
      <c r="F149" s="14">
        <f>IF('Product Data'!A149="","",'Product Data'!F149)</f>
        <v/>
      </c>
      <c r="G149" s="9">
        <f>IF('Product Data'!A149="","",C149*D149*E149)</f>
        <v/>
      </c>
      <c r="H149" s="13">
        <f>IF('Product Data'!A149="","",AND($C149&lt;='Box Library'!$C$4,$D149&lt;='Box Library'!$D$4,$E149&lt;='Box Library'!$E$4,$F149&lt;='Box Library'!$F$4))</f>
        <v/>
      </c>
      <c r="I149" s="13">
        <f>IF('Product Data'!A149="","",AND($C149&lt;='Box Library'!$C$5,$D149&lt;='Box Library'!$D$5,$E149&lt;='Box Library'!$E$5,$F149&lt;='Box Library'!$F$5))</f>
        <v/>
      </c>
      <c r="J149" s="13">
        <f>IF('Product Data'!A149="","",AND($C149&lt;='Box Library'!$C$6,$D149&lt;='Box Library'!$D$6,$E149&lt;='Box Library'!$E$6,$F149&lt;='Box Library'!$F$6))</f>
        <v/>
      </c>
      <c r="K149" s="13">
        <f>IF('Product Data'!A149="","",AND($C149&lt;='Box Library'!$C$7,$D149&lt;='Box Library'!$D$7,$E149&lt;='Box Library'!$E$7,$F149&lt;='Box Library'!$F$7))</f>
        <v/>
      </c>
      <c r="L149" s="13">
        <f>IF('Product Data'!A149="","",AND($C149&lt;='Box Library'!$C$8,$D149&lt;='Box Library'!$D$8,$E149&lt;='Box Library'!$E$8,$F149&lt;='Box Library'!$F$8))</f>
        <v/>
      </c>
      <c r="M149" s="13">
        <f>IF('Product Data'!A149="","",IF(H149,'Box Library'!$A$4,IF(I149,'Box Library'!$A$5,IF(J149,'Box Library'!$A$6,IF(K149,'Box Library'!$A$7,IF(L149,'Box Library'!$A$8,"NO BOX FITS"))))))</f>
        <v/>
      </c>
      <c r="N149" s="15">
        <f>IF('Product Data'!A149="","",IF(H149,'Box Library'!$G$4,IF(I149,'Box Library'!$G$5,IF(J149,'Box Library'!$G$6,IF(K149,'Box Library'!$G$7,IF(L149,'Box Library'!$G$8,0))))))</f>
        <v/>
      </c>
      <c r="O149" s="16">
        <f>IF('Product Data'!A149="","",IF(M149="NO BOX FITS",0,G149/(IF(H149,'Box Library'!$H$4,IF(I149,'Box Library'!$H$5,IF(J149,'Box Library'!$H$6,IF(K149,'Box Library'!$H$7,'Box Library'!$H$8)))))))</f>
        <v/>
      </c>
      <c r="P149" s="6">
        <f>IF('Product Data'!A149="","",IF(M149="NO BOX FITS","REVIEW - NO STANDARD BOX FITS","OK"))</f>
        <v/>
      </c>
    </row>
    <row r="150">
      <c r="A150" s="13">
        <f>IF('Product Data'!A150="","",'Product Data'!A150)</f>
        <v/>
      </c>
      <c r="B150" s="13">
        <f>IF('Product Data'!A150="","",'Product Data'!B150)</f>
        <v/>
      </c>
      <c r="C150" s="14">
        <f>IF('Product Data'!A150="","",'Product Data'!C150)</f>
        <v/>
      </c>
      <c r="D150" s="14">
        <f>IF('Product Data'!A150="","",'Product Data'!D150)</f>
        <v/>
      </c>
      <c r="E150" s="14">
        <f>IF('Product Data'!A150="","",'Product Data'!E150)</f>
        <v/>
      </c>
      <c r="F150" s="14">
        <f>IF('Product Data'!A150="","",'Product Data'!F150)</f>
        <v/>
      </c>
      <c r="G150" s="9">
        <f>IF('Product Data'!A150="","",C150*D150*E150)</f>
        <v/>
      </c>
      <c r="H150" s="13">
        <f>IF('Product Data'!A150="","",AND($C150&lt;='Box Library'!$C$4,$D150&lt;='Box Library'!$D$4,$E150&lt;='Box Library'!$E$4,$F150&lt;='Box Library'!$F$4))</f>
        <v/>
      </c>
      <c r="I150" s="13">
        <f>IF('Product Data'!A150="","",AND($C150&lt;='Box Library'!$C$5,$D150&lt;='Box Library'!$D$5,$E150&lt;='Box Library'!$E$5,$F150&lt;='Box Library'!$F$5))</f>
        <v/>
      </c>
      <c r="J150" s="13">
        <f>IF('Product Data'!A150="","",AND($C150&lt;='Box Library'!$C$6,$D150&lt;='Box Library'!$D$6,$E150&lt;='Box Library'!$E$6,$F150&lt;='Box Library'!$F$6))</f>
        <v/>
      </c>
      <c r="K150" s="13">
        <f>IF('Product Data'!A150="","",AND($C150&lt;='Box Library'!$C$7,$D150&lt;='Box Library'!$D$7,$E150&lt;='Box Library'!$E$7,$F150&lt;='Box Library'!$F$7))</f>
        <v/>
      </c>
      <c r="L150" s="13">
        <f>IF('Product Data'!A150="","",AND($C150&lt;='Box Library'!$C$8,$D150&lt;='Box Library'!$D$8,$E150&lt;='Box Library'!$E$8,$F150&lt;='Box Library'!$F$8))</f>
        <v/>
      </c>
      <c r="M150" s="13">
        <f>IF('Product Data'!A150="","",IF(H150,'Box Library'!$A$4,IF(I150,'Box Library'!$A$5,IF(J150,'Box Library'!$A$6,IF(K150,'Box Library'!$A$7,IF(L150,'Box Library'!$A$8,"NO BOX FITS"))))))</f>
        <v/>
      </c>
      <c r="N150" s="15">
        <f>IF('Product Data'!A150="","",IF(H150,'Box Library'!$G$4,IF(I150,'Box Library'!$G$5,IF(J150,'Box Library'!$G$6,IF(K150,'Box Library'!$G$7,IF(L150,'Box Library'!$G$8,0))))))</f>
        <v/>
      </c>
      <c r="O150" s="16">
        <f>IF('Product Data'!A150="","",IF(M150="NO BOX FITS",0,G150/(IF(H150,'Box Library'!$H$4,IF(I150,'Box Library'!$H$5,IF(J150,'Box Library'!$H$6,IF(K150,'Box Library'!$H$7,'Box Library'!$H$8)))))))</f>
        <v/>
      </c>
      <c r="P150" s="6">
        <f>IF('Product Data'!A150="","",IF(M150="NO BOX FITS","REVIEW - NO STANDARD BOX FITS","OK"))</f>
        <v/>
      </c>
    </row>
    <row r="151">
      <c r="A151" s="13">
        <f>IF('Product Data'!A151="","",'Product Data'!A151)</f>
        <v/>
      </c>
      <c r="B151" s="13">
        <f>IF('Product Data'!A151="","",'Product Data'!B151)</f>
        <v/>
      </c>
      <c r="C151" s="14">
        <f>IF('Product Data'!A151="","",'Product Data'!C151)</f>
        <v/>
      </c>
      <c r="D151" s="14">
        <f>IF('Product Data'!A151="","",'Product Data'!D151)</f>
        <v/>
      </c>
      <c r="E151" s="14">
        <f>IF('Product Data'!A151="","",'Product Data'!E151)</f>
        <v/>
      </c>
      <c r="F151" s="14">
        <f>IF('Product Data'!A151="","",'Product Data'!F151)</f>
        <v/>
      </c>
      <c r="G151" s="9">
        <f>IF('Product Data'!A151="","",C151*D151*E151)</f>
        <v/>
      </c>
      <c r="H151" s="13">
        <f>IF('Product Data'!A151="","",AND($C151&lt;='Box Library'!$C$4,$D151&lt;='Box Library'!$D$4,$E151&lt;='Box Library'!$E$4,$F151&lt;='Box Library'!$F$4))</f>
        <v/>
      </c>
      <c r="I151" s="13">
        <f>IF('Product Data'!A151="","",AND($C151&lt;='Box Library'!$C$5,$D151&lt;='Box Library'!$D$5,$E151&lt;='Box Library'!$E$5,$F151&lt;='Box Library'!$F$5))</f>
        <v/>
      </c>
      <c r="J151" s="13">
        <f>IF('Product Data'!A151="","",AND($C151&lt;='Box Library'!$C$6,$D151&lt;='Box Library'!$D$6,$E151&lt;='Box Library'!$E$6,$F151&lt;='Box Library'!$F$6))</f>
        <v/>
      </c>
      <c r="K151" s="13">
        <f>IF('Product Data'!A151="","",AND($C151&lt;='Box Library'!$C$7,$D151&lt;='Box Library'!$D$7,$E151&lt;='Box Library'!$E$7,$F151&lt;='Box Library'!$F$7))</f>
        <v/>
      </c>
      <c r="L151" s="13">
        <f>IF('Product Data'!A151="","",AND($C151&lt;='Box Library'!$C$8,$D151&lt;='Box Library'!$D$8,$E151&lt;='Box Library'!$E$8,$F151&lt;='Box Library'!$F$8))</f>
        <v/>
      </c>
      <c r="M151" s="13">
        <f>IF('Product Data'!A151="","",IF(H151,'Box Library'!$A$4,IF(I151,'Box Library'!$A$5,IF(J151,'Box Library'!$A$6,IF(K151,'Box Library'!$A$7,IF(L151,'Box Library'!$A$8,"NO BOX FITS"))))))</f>
        <v/>
      </c>
      <c r="N151" s="15">
        <f>IF('Product Data'!A151="","",IF(H151,'Box Library'!$G$4,IF(I151,'Box Library'!$G$5,IF(J151,'Box Library'!$G$6,IF(K151,'Box Library'!$G$7,IF(L151,'Box Library'!$G$8,0))))))</f>
        <v/>
      </c>
      <c r="O151" s="16">
        <f>IF('Product Data'!A151="","",IF(M151="NO BOX FITS",0,G151/(IF(H151,'Box Library'!$H$4,IF(I151,'Box Library'!$H$5,IF(J151,'Box Library'!$H$6,IF(K151,'Box Library'!$H$7,'Box Library'!$H$8)))))))</f>
        <v/>
      </c>
      <c r="P151" s="6">
        <f>IF('Product Data'!A151="","",IF(M151="NO BOX FITS","REVIEW - NO STANDARD BOX FITS","OK"))</f>
        <v/>
      </c>
    </row>
    <row r="152">
      <c r="A152" s="13">
        <f>IF('Product Data'!A152="","",'Product Data'!A152)</f>
        <v/>
      </c>
      <c r="B152" s="13">
        <f>IF('Product Data'!A152="","",'Product Data'!B152)</f>
        <v/>
      </c>
      <c r="C152" s="14">
        <f>IF('Product Data'!A152="","",'Product Data'!C152)</f>
        <v/>
      </c>
      <c r="D152" s="14">
        <f>IF('Product Data'!A152="","",'Product Data'!D152)</f>
        <v/>
      </c>
      <c r="E152" s="14">
        <f>IF('Product Data'!A152="","",'Product Data'!E152)</f>
        <v/>
      </c>
      <c r="F152" s="14">
        <f>IF('Product Data'!A152="","",'Product Data'!F152)</f>
        <v/>
      </c>
      <c r="G152" s="9">
        <f>IF('Product Data'!A152="","",C152*D152*E152)</f>
        <v/>
      </c>
      <c r="H152" s="13">
        <f>IF('Product Data'!A152="","",AND($C152&lt;='Box Library'!$C$4,$D152&lt;='Box Library'!$D$4,$E152&lt;='Box Library'!$E$4,$F152&lt;='Box Library'!$F$4))</f>
        <v/>
      </c>
      <c r="I152" s="13">
        <f>IF('Product Data'!A152="","",AND($C152&lt;='Box Library'!$C$5,$D152&lt;='Box Library'!$D$5,$E152&lt;='Box Library'!$E$5,$F152&lt;='Box Library'!$F$5))</f>
        <v/>
      </c>
      <c r="J152" s="13">
        <f>IF('Product Data'!A152="","",AND($C152&lt;='Box Library'!$C$6,$D152&lt;='Box Library'!$D$6,$E152&lt;='Box Library'!$E$6,$F152&lt;='Box Library'!$F$6))</f>
        <v/>
      </c>
      <c r="K152" s="13">
        <f>IF('Product Data'!A152="","",AND($C152&lt;='Box Library'!$C$7,$D152&lt;='Box Library'!$D$7,$E152&lt;='Box Library'!$E$7,$F152&lt;='Box Library'!$F$7))</f>
        <v/>
      </c>
      <c r="L152" s="13">
        <f>IF('Product Data'!A152="","",AND($C152&lt;='Box Library'!$C$8,$D152&lt;='Box Library'!$D$8,$E152&lt;='Box Library'!$E$8,$F152&lt;='Box Library'!$F$8))</f>
        <v/>
      </c>
      <c r="M152" s="13">
        <f>IF('Product Data'!A152="","",IF(H152,'Box Library'!$A$4,IF(I152,'Box Library'!$A$5,IF(J152,'Box Library'!$A$6,IF(K152,'Box Library'!$A$7,IF(L152,'Box Library'!$A$8,"NO BOX FITS"))))))</f>
        <v/>
      </c>
      <c r="N152" s="15">
        <f>IF('Product Data'!A152="","",IF(H152,'Box Library'!$G$4,IF(I152,'Box Library'!$G$5,IF(J152,'Box Library'!$G$6,IF(K152,'Box Library'!$G$7,IF(L152,'Box Library'!$G$8,0))))))</f>
        <v/>
      </c>
      <c r="O152" s="16">
        <f>IF('Product Data'!A152="","",IF(M152="NO BOX FITS",0,G152/(IF(H152,'Box Library'!$H$4,IF(I152,'Box Library'!$H$5,IF(J152,'Box Library'!$H$6,IF(K152,'Box Library'!$H$7,'Box Library'!$H$8)))))))</f>
        <v/>
      </c>
      <c r="P152" s="6">
        <f>IF('Product Data'!A152="","",IF(M152="NO BOX FITS","REVIEW - NO STANDARD BOX FITS","OK"))</f>
        <v/>
      </c>
    </row>
    <row r="153">
      <c r="A153" s="13">
        <f>IF('Product Data'!A153="","",'Product Data'!A153)</f>
        <v/>
      </c>
      <c r="B153" s="13">
        <f>IF('Product Data'!A153="","",'Product Data'!B153)</f>
        <v/>
      </c>
      <c r="C153" s="14">
        <f>IF('Product Data'!A153="","",'Product Data'!C153)</f>
        <v/>
      </c>
      <c r="D153" s="14">
        <f>IF('Product Data'!A153="","",'Product Data'!D153)</f>
        <v/>
      </c>
      <c r="E153" s="14">
        <f>IF('Product Data'!A153="","",'Product Data'!E153)</f>
        <v/>
      </c>
      <c r="F153" s="14">
        <f>IF('Product Data'!A153="","",'Product Data'!F153)</f>
        <v/>
      </c>
      <c r="G153" s="9">
        <f>IF('Product Data'!A153="","",C153*D153*E153)</f>
        <v/>
      </c>
      <c r="H153" s="13">
        <f>IF('Product Data'!A153="","",AND($C153&lt;='Box Library'!$C$4,$D153&lt;='Box Library'!$D$4,$E153&lt;='Box Library'!$E$4,$F153&lt;='Box Library'!$F$4))</f>
        <v/>
      </c>
      <c r="I153" s="13">
        <f>IF('Product Data'!A153="","",AND($C153&lt;='Box Library'!$C$5,$D153&lt;='Box Library'!$D$5,$E153&lt;='Box Library'!$E$5,$F153&lt;='Box Library'!$F$5))</f>
        <v/>
      </c>
      <c r="J153" s="13">
        <f>IF('Product Data'!A153="","",AND($C153&lt;='Box Library'!$C$6,$D153&lt;='Box Library'!$D$6,$E153&lt;='Box Library'!$E$6,$F153&lt;='Box Library'!$F$6))</f>
        <v/>
      </c>
      <c r="K153" s="13">
        <f>IF('Product Data'!A153="","",AND($C153&lt;='Box Library'!$C$7,$D153&lt;='Box Library'!$D$7,$E153&lt;='Box Library'!$E$7,$F153&lt;='Box Library'!$F$7))</f>
        <v/>
      </c>
      <c r="L153" s="13">
        <f>IF('Product Data'!A153="","",AND($C153&lt;='Box Library'!$C$8,$D153&lt;='Box Library'!$D$8,$E153&lt;='Box Library'!$E$8,$F153&lt;='Box Library'!$F$8))</f>
        <v/>
      </c>
      <c r="M153" s="13">
        <f>IF('Product Data'!A153="","",IF(H153,'Box Library'!$A$4,IF(I153,'Box Library'!$A$5,IF(J153,'Box Library'!$A$6,IF(K153,'Box Library'!$A$7,IF(L153,'Box Library'!$A$8,"NO BOX FITS"))))))</f>
        <v/>
      </c>
      <c r="N153" s="15">
        <f>IF('Product Data'!A153="","",IF(H153,'Box Library'!$G$4,IF(I153,'Box Library'!$G$5,IF(J153,'Box Library'!$G$6,IF(K153,'Box Library'!$G$7,IF(L153,'Box Library'!$G$8,0))))))</f>
        <v/>
      </c>
      <c r="O153" s="16">
        <f>IF('Product Data'!A153="","",IF(M153="NO BOX FITS",0,G153/(IF(H153,'Box Library'!$H$4,IF(I153,'Box Library'!$H$5,IF(J153,'Box Library'!$H$6,IF(K153,'Box Library'!$H$7,'Box Library'!$H$8)))))))</f>
        <v/>
      </c>
      <c r="P153" s="6">
        <f>IF('Product Data'!A153="","",IF(M153="NO BOX FITS","REVIEW - NO STANDARD BOX FITS","OK"))</f>
        <v/>
      </c>
    </row>
    <row r="154">
      <c r="A154" s="13">
        <f>IF('Product Data'!A154="","",'Product Data'!A154)</f>
        <v/>
      </c>
      <c r="B154" s="13">
        <f>IF('Product Data'!A154="","",'Product Data'!B154)</f>
        <v/>
      </c>
      <c r="C154" s="14">
        <f>IF('Product Data'!A154="","",'Product Data'!C154)</f>
        <v/>
      </c>
      <c r="D154" s="14">
        <f>IF('Product Data'!A154="","",'Product Data'!D154)</f>
        <v/>
      </c>
      <c r="E154" s="14">
        <f>IF('Product Data'!A154="","",'Product Data'!E154)</f>
        <v/>
      </c>
      <c r="F154" s="14">
        <f>IF('Product Data'!A154="","",'Product Data'!F154)</f>
        <v/>
      </c>
      <c r="G154" s="9">
        <f>IF('Product Data'!A154="","",C154*D154*E154)</f>
        <v/>
      </c>
      <c r="H154" s="13">
        <f>IF('Product Data'!A154="","",AND($C154&lt;='Box Library'!$C$4,$D154&lt;='Box Library'!$D$4,$E154&lt;='Box Library'!$E$4,$F154&lt;='Box Library'!$F$4))</f>
        <v/>
      </c>
      <c r="I154" s="13">
        <f>IF('Product Data'!A154="","",AND($C154&lt;='Box Library'!$C$5,$D154&lt;='Box Library'!$D$5,$E154&lt;='Box Library'!$E$5,$F154&lt;='Box Library'!$F$5))</f>
        <v/>
      </c>
      <c r="J154" s="13">
        <f>IF('Product Data'!A154="","",AND($C154&lt;='Box Library'!$C$6,$D154&lt;='Box Library'!$D$6,$E154&lt;='Box Library'!$E$6,$F154&lt;='Box Library'!$F$6))</f>
        <v/>
      </c>
      <c r="K154" s="13">
        <f>IF('Product Data'!A154="","",AND($C154&lt;='Box Library'!$C$7,$D154&lt;='Box Library'!$D$7,$E154&lt;='Box Library'!$E$7,$F154&lt;='Box Library'!$F$7))</f>
        <v/>
      </c>
      <c r="L154" s="13">
        <f>IF('Product Data'!A154="","",AND($C154&lt;='Box Library'!$C$8,$D154&lt;='Box Library'!$D$8,$E154&lt;='Box Library'!$E$8,$F154&lt;='Box Library'!$F$8))</f>
        <v/>
      </c>
      <c r="M154" s="13">
        <f>IF('Product Data'!A154="","",IF(H154,'Box Library'!$A$4,IF(I154,'Box Library'!$A$5,IF(J154,'Box Library'!$A$6,IF(K154,'Box Library'!$A$7,IF(L154,'Box Library'!$A$8,"NO BOX FITS"))))))</f>
        <v/>
      </c>
      <c r="N154" s="15">
        <f>IF('Product Data'!A154="","",IF(H154,'Box Library'!$G$4,IF(I154,'Box Library'!$G$5,IF(J154,'Box Library'!$G$6,IF(K154,'Box Library'!$G$7,IF(L154,'Box Library'!$G$8,0))))))</f>
        <v/>
      </c>
      <c r="O154" s="16">
        <f>IF('Product Data'!A154="","",IF(M154="NO BOX FITS",0,G154/(IF(H154,'Box Library'!$H$4,IF(I154,'Box Library'!$H$5,IF(J154,'Box Library'!$H$6,IF(K154,'Box Library'!$H$7,'Box Library'!$H$8)))))))</f>
        <v/>
      </c>
      <c r="P154" s="6">
        <f>IF('Product Data'!A154="","",IF(M154="NO BOX FITS","REVIEW - NO STANDARD BOX FITS","OK"))</f>
        <v/>
      </c>
    </row>
    <row r="155">
      <c r="A155" s="13">
        <f>IF('Product Data'!A155="","",'Product Data'!A155)</f>
        <v/>
      </c>
      <c r="B155" s="13">
        <f>IF('Product Data'!A155="","",'Product Data'!B155)</f>
        <v/>
      </c>
      <c r="C155" s="14">
        <f>IF('Product Data'!A155="","",'Product Data'!C155)</f>
        <v/>
      </c>
      <c r="D155" s="14">
        <f>IF('Product Data'!A155="","",'Product Data'!D155)</f>
        <v/>
      </c>
      <c r="E155" s="14">
        <f>IF('Product Data'!A155="","",'Product Data'!E155)</f>
        <v/>
      </c>
      <c r="F155" s="14">
        <f>IF('Product Data'!A155="","",'Product Data'!F155)</f>
        <v/>
      </c>
      <c r="G155" s="9">
        <f>IF('Product Data'!A155="","",C155*D155*E155)</f>
        <v/>
      </c>
      <c r="H155" s="13">
        <f>IF('Product Data'!A155="","",AND($C155&lt;='Box Library'!$C$4,$D155&lt;='Box Library'!$D$4,$E155&lt;='Box Library'!$E$4,$F155&lt;='Box Library'!$F$4))</f>
        <v/>
      </c>
      <c r="I155" s="13">
        <f>IF('Product Data'!A155="","",AND($C155&lt;='Box Library'!$C$5,$D155&lt;='Box Library'!$D$5,$E155&lt;='Box Library'!$E$5,$F155&lt;='Box Library'!$F$5))</f>
        <v/>
      </c>
      <c r="J155" s="13">
        <f>IF('Product Data'!A155="","",AND($C155&lt;='Box Library'!$C$6,$D155&lt;='Box Library'!$D$6,$E155&lt;='Box Library'!$E$6,$F155&lt;='Box Library'!$F$6))</f>
        <v/>
      </c>
      <c r="K155" s="13">
        <f>IF('Product Data'!A155="","",AND($C155&lt;='Box Library'!$C$7,$D155&lt;='Box Library'!$D$7,$E155&lt;='Box Library'!$E$7,$F155&lt;='Box Library'!$F$7))</f>
        <v/>
      </c>
      <c r="L155" s="13">
        <f>IF('Product Data'!A155="","",AND($C155&lt;='Box Library'!$C$8,$D155&lt;='Box Library'!$D$8,$E155&lt;='Box Library'!$E$8,$F155&lt;='Box Library'!$F$8))</f>
        <v/>
      </c>
      <c r="M155" s="13">
        <f>IF('Product Data'!A155="","",IF(H155,'Box Library'!$A$4,IF(I155,'Box Library'!$A$5,IF(J155,'Box Library'!$A$6,IF(K155,'Box Library'!$A$7,IF(L155,'Box Library'!$A$8,"NO BOX FITS"))))))</f>
        <v/>
      </c>
      <c r="N155" s="15">
        <f>IF('Product Data'!A155="","",IF(H155,'Box Library'!$G$4,IF(I155,'Box Library'!$G$5,IF(J155,'Box Library'!$G$6,IF(K155,'Box Library'!$G$7,IF(L155,'Box Library'!$G$8,0))))))</f>
        <v/>
      </c>
      <c r="O155" s="16">
        <f>IF('Product Data'!A155="","",IF(M155="NO BOX FITS",0,G155/(IF(H155,'Box Library'!$H$4,IF(I155,'Box Library'!$H$5,IF(J155,'Box Library'!$H$6,IF(K155,'Box Library'!$H$7,'Box Library'!$H$8)))))))</f>
        <v/>
      </c>
      <c r="P155" s="6">
        <f>IF('Product Data'!A155="","",IF(M155="NO BOX FITS","REVIEW - NO STANDARD BOX FITS","OK"))</f>
        <v/>
      </c>
    </row>
    <row r="156">
      <c r="A156" s="13">
        <f>IF('Product Data'!A156="","",'Product Data'!A156)</f>
        <v/>
      </c>
      <c r="B156" s="13">
        <f>IF('Product Data'!A156="","",'Product Data'!B156)</f>
        <v/>
      </c>
      <c r="C156" s="14">
        <f>IF('Product Data'!A156="","",'Product Data'!C156)</f>
        <v/>
      </c>
      <c r="D156" s="14">
        <f>IF('Product Data'!A156="","",'Product Data'!D156)</f>
        <v/>
      </c>
      <c r="E156" s="14">
        <f>IF('Product Data'!A156="","",'Product Data'!E156)</f>
        <v/>
      </c>
      <c r="F156" s="14">
        <f>IF('Product Data'!A156="","",'Product Data'!F156)</f>
        <v/>
      </c>
      <c r="G156" s="9">
        <f>IF('Product Data'!A156="","",C156*D156*E156)</f>
        <v/>
      </c>
      <c r="H156" s="13">
        <f>IF('Product Data'!A156="","",AND($C156&lt;='Box Library'!$C$4,$D156&lt;='Box Library'!$D$4,$E156&lt;='Box Library'!$E$4,$F156&lt;='Box Library'!$F$4))</f>
        <v/>
      </c>
      <c r="I156" s="13">
        <f>IF('Product Data'!A156="","",AND($C156&lt;='Box Library'!$C$5,$D156&lt;='Box Library'!$D$5,$E156&lt;='Box Library'!$E$5,$F156&lt;='Box Library'!$F$5))</f>
        <v/>
      </c>
      <c r="J156" s="13">
        <f>IF('Product Data'!A156="","",AND($C156&lt;='Box Library'!$C$6,$D156&lt;='Box Library'!$D$6,$E156&lt;='Box Library'!$E$6,$F156&lt;='Box Library'!$F$6))</f>
        <v/>
      </c>
      <c r="K156" s="13">
        <f>IF('Product Data'!A156="","",AND($C156&lt;='Box Library'!$C$7,$D156&lt;='Box Library'!$D$7,$E156&lt;='Box Library'!$E$7,$F156&lt;='Box Library'!$F$7))</f>
        <v/>
      </c>
      <c r="L156" s="13">
        <f>IF('Product Data'!A156="","",AND($C156&lt;='Box Library'!$C$8,$D156&lt;='Box Library'!$D$8,$E156&lt;='Box Library'!$E$8,$F156&lt;='Box Library'!$F$8))</f>
        <v/>
      </c>
      <c r="M156" s="13">
        <f>IF('Product Data'!A156="","",IF(H156,'Box Library'!$A$4,IF(I156,'Box Library'!$A$5,IF(J156,'Box Library'!$A$6,IF(K156,'Box Library'!$A$7,IF(L156,'Box Library'!$A$8,"NO BOX FITS"))))))</f>
        <v/>
      </c>
      <c r="N156" s="15">
        <f>IF('Product Data'!A156="","",IF(H156,'Box Library'!$G$4,IF(I156,'Box Library'!$G$5,IF(J156,'Box Library'!$G$6,IF(K156,'Box Library'!$G$7,IF(L156,'Box Library'!$G$8,0))))))</f>
        <v/>
      </c>
      <c r="O156" s="16">
        <f>IF('Product Data'!A156="","",IF(M156="NO BOX FITS",0,G156/(IF(H156,'Box Library'!$H$4,IF(I156,'Box Library'!$H$5,IF(J156,'Box Library'!$H$6,IF(K156,'Box Library'!$H$7,'Box Library'!$H$8)))))))</f>
        <v/>
      </c>
      <c r="P156" s="6">
        <f>IF('Product Data'!A156="","",IF(M156="NO BOX FITS","REVIEW - NO STANDARD BOX FITS","OK"))</f>
        <v/>
      </c>
    </row>
    <row r="157">
      <c r="A157" s="13">
        <f>IF('Product Data'!A157="","",'Product Data'!A157)</f>
        <v/>
      </c>
      <c r="B157" s="13">
        <f>IF('Product Data'!A157="","",'Product Data'!B157)</f>
        <v/>
      </c>
      <c r="C157" s="14">
        <f>IF('Product Data'!A157="","",'Product Data'!C157)</f>
        <v/>
      </c>
      <c r="D157" s="14">
        <f>IF('Product Data'!A157="","",'Product Data'!D157)</f>
        <v/>
      </c>
      <c r="E157" s="14">
        <f>IF('Product Data'!A157="","",'Product Data'!E157)</f>
        <v/>
      </c>
      <c r="F157" s="14">
        <f>IF('Product Data'!A157="","",'Product Data'!F157)</f>
        <v/>
      </c>
      <c r="G157" s="9">
        <f>IF('Product Data'!A157="","",C157*D157*E157)</f>
        <v/>
      </c>
      <c r="H157" s="13">
        <f>IF('Product Data'!A157="","",AND($C157&lt;='Box Library'!$C$4,$D157&lt;='Box Library'!$D$4,$E157&lt;='Box Library'!$E$4,$F157&lt;='Box Library'!$F$4))</f>
        <v/>
      </c>
      <c r="I157" s="13">
        <f>IF('Product Data'!A157="","",AND($C157&lt;='Box Library'!$C$5,$D157&lt;='Box Library'!$D$5,$E157&lt;='Box Library'!$E$5,$F157&lt;='Box Library'!$F$5))</f>
        <v/>
      </c>
      <c r="J157" s="13">
        <f>IF('Product Data'!A157="","",AND($C157&lt;='Box Library'!$C$6,$D157&lt;='Box Library'!$D$6,$E157&lt;='Box Library'!$E$6,$F157&lt;='Box Library'!$F$6))</f>
        <v/>
      </c>
      <c r="K157" s="13">
        <f>IF('Product Data'!A157="","",AND($C157&lt;='Box Library'!$C$7,$D157&lt;='Box Library'!$D$7,$E157&lt;='Box Library'!$E$7,$F157&lt;='Box Library'!$F$7))</f>
        <v/>
      </c>
      <c r="L157" s="13">
        <f>IF('Product Data'!A157="","",AND($C157&lt;='Box Library'!$C$8,$D157&lt;='Box Library'!$D$8,$E157&lt;='Box Library'!$E$8,$F157&lt;='Box Library'!$F$8))</f>
        <v/>
      </c>
      <c r="M157" s="13">
        <f>IF('Product Data'!A157="","",IF(H157,'Box Library'!$A$4,IF(I157,'Box Library'!$A$5,IF(J157,'Box Library'!$A$6,IF(K157,'Box Library'!$A$7,IF(L157,'Box Library'!$A$8,"NO BOX FITS"))))))</f>
        <v/>
      </c>
      <c r="N157" s="15">
        <f>IF('Product Data'!A157="","",IF(H157,'Box Library'!$G$4,IF(I157,'Box Library'!$G$5,IF(J157,'Box Library'!$G$6,IF(K157,'Box Library'!$G$7,IF(L157,'Box Library'!$G$8,0))))))</f>
        <v/>
      </c>
      <c r="O157" s="16">
        <f>IF('Product Data'!A157="","",IF(M157="NO BOX FITS",0,G157/(IF(H157,'Box Library'!$H$4,IF(I157,'Box Library'!$H$5,IF(J157,'Box Library'!$H$6,IF(K157,'Box Library'!$H$7,'Box Library'!$H$8)))))))</f>
        <v/>
      </c>
      <c r="P157" s="6">
        <f>IF('Product Data'!A157="","",IF(M157="NO BOX FITS","REVIEW - NO STANDARD BOX FITS","OK"))</f>
        <v/>
      </c>
    </row>
    <row r="158">
      <c r="A158" s="13">
        <f>IF('Product Data'!A158="","",'Product Data'!A158)</f>
        <v/>
      </c>
      <c r="B158" s="13">
        <f>IF('Product Data'!A158="","",'Product Data'!B158)</f>
        <v/>
      </c>
      <c r="C158" s="14">
        <f>IF('Product Data'!A158="","",'Product Data'!C158)</f>
        <v/>
      </c>
      <c r="D158" s="14">
        <f>IF('Product Data'!A158="","",'Product Data'!D158)</f>
        <v/>
      </c>
      <c r="E158" s="14">
        <f>IF('Product Data'!A158="","",'Product Data'!E158)</f>
        <v/>
      </c>
      <c r="F158" s="14">
        <f>IF('Product Data'!A158="","",'Product Data'!F158)</f>
        <v/>
      </c>
      <c r="G158" s="9">
        <f>IF('Product Data'!A158="","",C158*D158*E158)</f>
        <v/>
      </c>
      <c r="H158" s="13">
        <f>IF('Product Data'!A158="","",AND($C158&lt;='Box Library'!$C$4,$D158&lt;='Box Library'!$D$4,$E158&lt;='Box Library'!$E$4,$F158&lt;='Box Library'!$F$4))</f>
        <v/>
      </c>
      <c r="I158" s="13">
        <f>IF('Product Data'!A158="","",AND($C158&lt;='Box Library'!$C$5,$D158&lt;='Box Library'!$D$5,$E158&lt;='Box Library'!$E$5,$F158&lt;='Box Library'!$F$5))</f>
        <v/>
      </c>
      <c r="J158" s="13">
        <f>IF('Product Data'!A158="","",AND($C158&lt;='Box Library'!$C$6,$D158&lt;='Box Library'!$D$6,$E158&lt;='Box Library'!$E$6,$F158&lt;='Box Library'!$F$6))</f>
        <v/>
      </c>
      <c r="K158" s="13">
        <f>IF('Product Data'!A158="","",AND($C158&lt;='Box Library'!$C$7,$D158&lt;='Box Library'!$D$7,$E158&lt;='Box Library'!$E$7,$F158&lt;='Box Library'!$F$7))</f>
        <v/>
      </c>
      <c r="L158" s="13">
        <f>IF('Product Data'!A158="","",AND($C158&lt;='Box Library'!$C$8,$D158&lt;='Box Library'!$D$8,$E158&lt;='Box Library'!$E$8,$F158&lt;='Box Library'!$F$8))</f>
        <v/>
      </c>
      <c r="M158" s="13">
        <f>IF('Product Data'!A158="","",IF(H158,'Box Library'!$A$4,IF(I158,'Box Library'!$A$5,IF(J158,'Box Library'!$A$6,IF(K158,'Box Library'!$A$7,IF(L158,'Box Library'!$A$8,"NO BOX FITS"))))))</f>
        <v/>
      </c>
      <c r="N158" s="15">
        <f>IF('Product Data'!A158="","",IF(H158,'Box Library'!$G$4,IF(I158,'Box Library'!$G$5,IF(J158,'Box Library'!$G$6,IF(K158,'Box Library'!$G$7,IF(L158,'Box Library'!$G$8,0))))))</f>
        <v/>
      </c>
      <c r="O158" s="16">
        <f>IF('Product Data'!A158="","",IF(M158="NO BOX FITS",0,G158/(IF(H158,'Box Library'!$H$4,IF(I158,'Box Library'!$H$5,IF(J158,'Box Library'!$H$6,IF(K158,'Box Library'!$H$7,'Box Library'!$H$8)))))))</f>
        <v/>
      </c>
      <c r="P158" s="6">
        <f>IF('Product Data'!A158="","",IF(M158="NO BOX FITS","REVIEW - NO STANDARD BOX FITS","OK"))</f>
        <v/>
      </c>
    </row>
    <row r="159">
      <c r="A159" s="13">
        <f>IF('Product Data'!A159="","",'Product Data'!A159)</f>
        <v/>
      </c>
      <c r="B159" s="13">
        <f>IF('Product Data'!A159="","",'Product Data'!B159)</f>
        <v/>
      </c>
      <c r="C159" s="14">
        <f>IF('Product Data'!A159="","",'Product Data'!C159)</f>
        <v/>
      </c>
      <c r="D159" s="14">
        <f>IF('Product Data'!A159="","",'Product Data'!D159)</f>
        <v/>
      </c>
      <c r="E159" s="14">
        <f>IF('Product Data'!A159="","",'Product Data'!E159)</f>
        <v/>
      </c>
      <c r="F159" s="14">
        <f>IF('Product Data'!A159="","",'Product Data'!F159)</f>
        <v/>
      </c>
      <c r="G159" s="9">
        <f>IF('Product Data'!A159="","",C159*D159*E159)</f>
        <v/>
      </c>
      <c r="H159" s="13">
        <f>IF('Product Data'!A159="","",AND($C159&lt;='Box Library'!$C$4,$D159&lt;='Box Library'!$D$4,$E159&lt;='Box Library'!$E$4,$F159&lt;='Box Library'!$F$4))</f>
        <v/>
      </c>
      <c r="I159" s="13">
        <f>IF('Product Data'!A159="","",AND($C159&lt;='Box Library'!$C$5,$D159&lt;='Box Library'!$D$5,$E159&lt;='Box Library'!$E$5,$F159&lt;='Box Library'!$F$5))</f>
        <v/>
      </c>
      <c r="J159" s="13">
        <f>IF('Product Data'!A159="","",AND($C159&lt;='Box Library'!$C$6,$D159&lt;='Box Library'!$D$6,$E159&lt;='Box Library'!$E$6,$F159&lt;='Box Library'!$F$6))</f>
        <v/>
      </c>
      <c r="K159" s="13">
        <f>IF('Product Data'!A159="","",AND($C159&lt;='Box Library'!$C$7,$D159&lt;='Box Library'!$D$7,$E159&lt;='Box Library'!$E$7,$F159&lt;='Box Library'!$F$7))</f>
        <v/>
      </c>
      <c r="L159" s="13">
        <f>IF('Product Data'!A159="","",AND($C159&lt;='Box Library'!$C$8,$D159&lt;='Box Library'!$D$8,$E159&lt;='Box Library'!$E$8,$F159&lt;='Box Library'!$F$8))</f>
        <v/>
      </c>
      <c r="M159" s="13">
        <f>IF('Product Data'!A159="","",IF(H159,'Box Library'!$A$4,IF(I159,'Box Library'!$A$5,IF(J159,'Box Library'!$A$6,IF(K159,'Box Library'!$A$7,IF(L159,'Box Library'!$A$8,"NO BOX FITS"))))))</f>
        <v/>
      </c>
      <c r="N159" s="15">
        <f>IF('Product Data'!A159="","",IF(H159,'Box Library'!$G$4,IF(I159,'Box Library'!$G$5,IF(J159,'Box Library'!$G$6,IF(K159,'Box Library'!$G$7,IF(L159,'Box Library'!$G$8,0))))))</f>
        <v/>
      </c>
      <c r="O159" s="16">
        <f>IF('Product Data'!A159="","",IF(M159="NO BOX FITS",0,G159/(IF(H159,'Box Library'!$H$4,IF(I159,'Box Library'!$H$5,IF(J159,'Box Library'!$H$6,IF(K159,'Box Library'!$H$7,'Box Library'!$H$8)))))))</f>
        <v/>
      </c>
      <c r="P159" s="6">
        <f>IF('Product Data'!A159="","",IF(M159="NO BOX FITS","REVIEW - NO STANDARD BOX FITS","OK"))</f>
        <v/>
      </c>
    </row>
    <row r="160">
      <c r="A160" s="13">
        <f>IF('Product Data'!A160="","",'Product Data'!A160)</f>
        <v/>
      </c>
      <c r="B160" s="13">
        <f>IF('Product Data'!A160="","",'Product Data'!B160)</f>
        <v/>
      </c>
      <c r="C160" s="14">
        <f>IF('Product Data'!A160="","",'Product Data'!C160)</f>
        <v/>
      </c>
      <c r="D160" s="14">
        <f>IF('Product Data'!A160="","",'Product Data'!D160)</f>
        <v/>
      </c>
      <c r="E160" s="14">
        <f>IF('Product Data'!A160="","",'Product Data'!E160)</f>
        <v/>
      </c>
      <c r="F160" s="14">
        <f>IF('Product Data'!A160="","",'Product Data'!F160)</f>
        <v/>
      </c>
      <c r="G160" s="9">
        <f>IF('Product Data'!A160="","",C160*D160*E160)</f>
        <v/>
      </c>
      <c r="H160" s="13">
        <f>IF('Product Data'!A160="","",AND($C160&lt;='Box Library'!$C$4,$D160&lt;='Box Library'!$D$4,$E160&lt;='Box Library'!$E$4,$F160&lt;='Box Library'!$F$4))</f>
        <v/>
      </c>
      <c r="I160" s="13">
        <f>IF('Product Data'!A160="","",AND($C160&lt;='Box Library'!$C$5,$D160&lt;='Box Library'!$D$5,$E160&lt;='Box Library'!$E$5,$F160&lt;='Box Library'!$F$5))</f>
        <v/>
      </c>
      <c r="J160" s="13">
        <f>IF('Product Data'!A160="","",AND($C160&lt;='Box Library'!$C$6,$D160&lt;='Box Library'!$D$6,$E160&lt;='Box Library'!$E$6,$F160&lt;='Box Library'!$F$6))</f>
        <v/>
      </c>
      <c r="K160" s="13">
        <f>IF('Product Data'!A160="","",AND($C160&lt;='Box Library'!$C$7,$D160&lt;='Box Library'!$D$7,$E160&lt;='Box Library'!$E$7,$F160&lt;='Box Library'!$F$7))</f>
        <v/>
      </c>
      <c r="L160" s="13">
        <f>IF('Product Data'!A160="","",AND($C160&lt;='Box Library'!$C$8,$D160&lt;='Box Library'!$D$8,$E160&lt;='Box Library'!$E$8,$F160&lt;='Box Library'!$F$8))</f>
        <v/>
      </c>
      <c r="M160" s="13">
        <f>IF('Product Data'!A160="","",IF(H160,'Box Library'!$A$4,IF(I160,'Box Library'!$A$5,IF(J160,'Box Library'!$A$6,IF(K160,'Box Library'!$A$7,IF(L160,'Box Library'!$A$8,"NO BOX FITS"))))))</f>
        <v/>
      </c>
      <c r="N160" s="15">
        <f>IF('Product Data'!A160="","",IF(H160,'Box Library'!$G$4,IF(I160,'Box Library'!$G$5,IF(J160,'Box Library'!$G$6,IF(K160,'Box Library'!$G$7,IF(L160,'Box Library'!$G$8,0))))))</f>
        <v/>
      </c>
      <c r="O160" s="16">
        <f>IF('Product Data'!A160="","",IF(M160="NO BOX FITS",0,G160/(IF(H160,'Box Library'!$H$4,IF(I160,'Box Library'!$H$5,IF(J160,'Box Library'!$H$6,IF(K160,'Box Library'!$H$7,'Box Library'!$H$8)))))))</f>
        <v/>
      </c>
      <c r="P160" s="6">
        <f>IF('Product Data'!A160="","",IF(M160="NO BOX FITS","REVIEW - NO STANDARD BOX FITS","OK"))</f>
        <v/>
      </c>
    </row>
    <row r="161">
      <c r="A161" s="13">
        <f>IF('Product Data'!A161="","",'Product Data'!A161)</f>
        <v/>
      </c>
      <c r="B161" s="13">
        <f>IF('Product Data'!A161="","",'Product Data'!B161)</f>
        <v/>
      </c>
      <c r="C161" s="14">
        <f>IF('Product Data'!A161="","",'Product Data'!C161)</f>
        <v/>
      </c>
      <c r="D161" s="14">
        <f>IF('Product Data'!A161="","",'Product Data'!D161)</f>
        <v/>
      </c>
      <c r="E161" s="14">
        <f>IF('Product Data'!A161="","",'Product Data'!E161)</f>
        <v/>
      </c>
      <c r="F161" s="14">
        <f>IF('Product Data'!A161="","",'Product Data'!F161)</f>
        <v/>
      </c>
      <c r="G161" s="9">
        <f>IF('Product Data'!A161="","",C161*D161*E161)</f>
        <v/>
      </c>
      <c r="H161" s="13">
        <f>IF('Product Data'!A161="","",AND($C161&lt;='Box Library'!$C$4,$D161&lt;='Box Library'!$D$4,$E161&lt;='Box Library'!$E$4,$F161&lt;='Box Library'!$F$4))</f>
        <v/>
      </c>
      <c r="I161" s="13">
        <f>IF('Product Data'!A161="","",AND($C161&lt;='Box Library'!$C$5,$D161&lt;='Box Library'!$D$5,$E161&lt;='Box Library'!$E$5,$F161&lt;='Box Library'!$F$5))</f>
        <v/>
      </c>
      <c r="J161" s="13">
        <f>IF('Product Data'!A161="","",AND($C161&lt;='Box Library'!$C$6,$D161&lt;='Box Library'!$D$6,$E161&lt;='Box Library'!$E$6,$F161&lt;='Box Library'!$F$6))</f>
        <v/>
      </c>
      <c r="K161" s="13">
        <f>IF('Product Data'!A161="","",AND($C161&lt;='Box Library'!$C$7,$D161&lt;='Box Library'!$D$7,$E161&lt;='Box Library'!$E$7,$F161&lt;='Box Library'!$F$7))</f>
        <v/>
      </c>
      <c r="L161" s="13">
        <f>IF('Product Data'!A161="","",AND($C161&lt;='Box Library'!$C$8,$D161&lt;='Box Library'!$D$8,$E161&lt;='Box Library'!$E$8,$F161&lt;='Box Library'!$F$8))</f>
        <v/>
      </c>
      <c r="M161" s="13">
        <f>IF('Product Data'!A161="","",IF(H161,'Box Library'!$A$4,IF(I161,'Box Library'!$A$5,IF(J161,'Box Library'!$A$6,IF(K161,'Box Library'!$A$7,IF(L161,'Box Library'!$A$8,"NO BOX FITS"))))))</f>
        <v/>
      </c>
      <c r="N161" s="15">
        <f>IF('Product Data'!A161="","",IF(H161,'Box Library'!$G$4,IF(I161,'Box Library'!$G$5,IF(J161,'Box Library'!$G$6,IF(K161,'Box Library'!$G$7,IF(L161,'Box Library'!$G$8,0))))))</f>
        <v/>
      </c>
      <c r="O161" s="16">
        <f>IF('Product Data'!A161="","",IF(M161="NO BOX FITS",0,G161/(IF(H161,'Box Library'!$H$4,IF(I161,'Box Library'!$H$5,IF(J161,'Box Library'!$H$6,IF(K161,'Box Library'!$H$7,'Box Library'!$H$8)))))))</f>
        <v/>
      </c>
      <c r="P161" s="6">
        <f>IF('Product Data'!A161="","",IF(M161="NO BOX FITS","REVIEW - NO STANDARD BOX FITS","OK"))</f>
        <v/>
      </c>
    </row>
    <row r="162">
      <c r="A162" s="13">
        <f>IF('Product Data'!A162="","",'Product Data'!A162)</f>
        <v/>
      </c>
      <c r="B162" s="13">
        <f>IF('Product Data'!A162="","",'Product Data'!B162)</f>
        <v/>
      </c>
      <c r="C162" s="14">
        <f>IF('Product Data'!A162="","",'Product Data'!C162)</f>
        <v/>
      </c>
      <c r="D162" s="14">
        <f>IF('Product Data'!A162="","",'Product Data'!D162)</f>
        <v/>
      </c>
      <c r="E162" s="14">
        <f>IF('Product Data'!A162="","",'Product Data'!E162)</f>
        <v/>
      </c>
      <c r="F162" s="14">
        <f>IF('Product Data'!A162="","",'Product Data'!F162)</f>
        <v/>
      </c>
      <c r="G162" s="9">
        <f>IF('Product Data'!A162="","",C162*D162*E162)</f>
        <v/>
      </c>
      <c r="H162" s="13">
        <f>IF('Product Data'!A162="","",AND($C162&lt;='Box Library'!$C$4,$D162&lt;='Box Library'!$D$4,$E162&lt;='Box Library'!$E$4,$F162&lt;='Box Library'!$F$4))</f>
        <v/>
      </c>
      <c r="I162" s="13">
        <f>IF('Product Data'!A162="","",AND($C162&lt;='Box Library'!$C$5,$D162&lt;='Box Library'!$D$5,$E162&lt;='Box Library'!$E$5,$F162&lt;='Box Library'!$F$5))</f>
        <v/>
      </c>
      <c r="J162" s="13">
        <f>IF('Product Data'!A162="","",AND($C162&lt;='Box Library'!$C$6,$D162&lt;='Box Library'!$D$6,$E162&lt;='Box Library'!$E$6,$F162&lt;='Box Library'!$F$6))</f>
        <v/>
      </c>
      <c r="K162" s="13">
        <f>IF('Product Data'!A162="","",AND($C162&lt;='Box Library'!$C$7,$D162&lt;='Box Library'!$D$7,$E162&lt;='Box Library'!$E$7,$F162&lt;='Box Library'!$F$7))</f>
        <v/>
      </c>
      <c r="L162" s="13">
        <f>IF('Product Data'!A162="","",AND($C162&lt;='Box Library'!$C$8,$D162&lt;='Box Library'!$D$8,$E162&lt;='Box Library'!$E$8,$F162&lt;='Box Library'!$F$8))</f>
        <v/>
      </c>
      <c r="M162" s="13">
        <f>IF('Product Data'!A162="","",IF(H162,'Box Library'!$A$4,IF(I162,'Box Library'!$A$5,IF(J162,'Box Library'!$A$6,IF(K162,'Box Library'!$A$7,IF(L162,'Box Library'!$A$8,"NO BOX FITS"))))))</f>
        <v/>
      </c>
      <c r="N162" s="15">
        <f>IF('Product Data'!A162="","",IF(H162,'Box Library'!$G$4,IF(I162,'Box Library'!$G$5,IF(J162,'Box Library'!$G$6,IF(K162,'Box Library'!$G$7,IF(L162,'Box Library'!$G$8,0))))))</f>
        <v/>
      </c>
      <c r="O162" s="16">
        <f>IF('Product Data'!A162="","",IF(M162="NO BOX FITS",0,G162/(IF(H162,'Box Library'!$H$4,IF(I162,'Box Library'!$H$5,IF(J162,'Box Library'!$H$6,IF(K162,'Box Library'!$H$7,'Box Library'!$H$8)))))))</f>
        <v/>
      </c>
      <c r="P162" s="6">
        <f>IF('Product Data'!A162="","",IF(M162="NO BOX FITS","REVIEW - NO STANDARD BOX FITS","OK"))</f>
        <v/>
      </c>
    </row>
    <row r="163">
      <c r="A163" s="13">
        <f>IF('Product Data'!A163="","",'Product Data'!A163)</f>
        <v/>
      </c>
      <c r="B163" s="13">
        <f>IF('Product Data'!A163="","",'Product Data'!B163)</f>
        <v/>
      </c>
      <c r="C163" s="14">
        <f>IF('Product Data'!A163="","",'Product Data'!C163)</f>
        <v/>
      </c>
      <c r="D163" s="14">
        <f>IF('Product Data'!A163="","",'Product Data'!D163)</f>
        <v/>
      </c>
      <c r="E163" s="14">
        <f>IF('Product Data'!A163="","",'Product Data'!E163)</f>
        <v/>
      </c>
      <c r="F163" s="14">
        <f>IF('Product Data'!A163="","",'Product Data'!F163)</f>
        <v/>
      </c>
      <c r="G163" s="9">
        <f>IF('Product Data'!A163="","",C163*D163*E163)</f>
        <v/>
      </c>
      <c r="H163" s="13">
        <f>IF('Product Data'!A163="","",AND($C163&lt;='Box Library'!$C$4,$D163&lt;='Box Library'!$D$4,$E163&lt;='Box Library'!$E$4,$F163&lt;='Box Library'!$F$4))</f>
        <v/>
      </c>
      <c r="I163" s="13">
        <f>IF('Product Data'!A163="","",AND($C163&lt;='Box Library'!$C$5,$D163&lt;='Box Library'!$D$5,$E163&lt;='Box Library'!$E$5,$F163&lt;='Box Library'!$F$5))</f>
        <v/>
      </c>
      <c r="J163" s="13">
        <f>IF('Product Data'!A163="","",AND($C163&lt;='Box Library'!$C$6,$D163&lt;='Box Library'!$D$6,$E163&lt;='Box Library'!$E$6,$F163&lt;='Box Library'!$F$6))</f>
        <v/>
      </c>
      <c r="K163" s="13">
        <f>IF('Product Data'!A163="","",AND($C163&lt;='Box Library'!$C$7,$D163&lt;='Box Library'!$D$7,$E163&lt;='Box Library'!$E$7,$F163&lt;='Box Library'!$F$7))</f>
        <v/>
      </c>
      <c r="L163" s="13">
        <f>IF('Product Data'!A163="","",AND($C163&lt;='Box Library'!$C$8,$D163&lt;='Box Library'!$D$8,$E163&lt;='Box Library'!$E$8,$F163&lt;='Box Library'!$F$8))</f>
        <v/>
      </c>
      <c r="M163" s="13">
        <f>IF('Product Data'!A163="","",IF(H163,'Box Library'!$A$4,IF(I163,'Box Library'!$A$5,IF(J163,'Box Library'!$A$6,IF(K163,'Box Library'!$A$7,IF(L163,'Box Library'!$A$8,"NO BOX FITS"))))))</f>
        <v/>
      </c>
      <c r="N163" s="15">
        <f>IF('Product Data'!A163="","",IF(H163,'Box Library'!$G$4,IF(I163,'Box Library'!$G$5,IF(J163,'Box Library'!$G$6,IF(K163,'Box Library'!$G$7,IF(L163,'Box Library'!$G$8,0))))))</f>
        <v/>
      </c>
      <c r="O163" s="16">
        <f>IF('Product Data'!A163="","",IF(M163="NO BOX FITS",0,G163/(IF(H163,'Box Library'!$H$4,IF(I163,'Box Library'!$H$5,IF(J163,'Box Library'!$H$6,IF(K163,'Box Library'!$H$7,'Box Library'!$H$8)))))))</f>
        <v/>
      </c>
      <c r="P163" s="6">
        <f>IF('Product Data'!A163="","",IF(M163="NO BOX FITS","REVIEW - NO STANDARD BOX FITS","OK"))</f>
        <v/>
      </c>
    </row>
    <row r="164">
      <c r="A164" s="13">
        <f>IF('Product Data'!A164="","",'Product Data'!A164)</f>
        <v/>
      </c>
      <c r="B164" s="13">
        <f>IF('Product Data'!A164="","",'Product Data'!B164)</f>
        <v/>
      </c>
      <c r="C164" s="14">
        <f>IF('Product Data'!A164="","",'Product Data'!C164)</f>
        <v/>
      </c>
      <c r="D164" s="14">
        <f>IF('Product Data'!A164="","",'Product Data'!D164)</f>
        <v/>
      </c>
      <c r="E164" s="14">
        <f>IF('Product Data'!A164="","",'Product Data'!E164)</f>
        <v/>
      </c>
      <c r="F164" s="14">
        <f>IF('Product Data'!A164="","",'Product Data'!F164)</f>
        <v/>
      </c>
      <c r="G164" s="9">
        <f>IF('Product Data'!A164="","",C164*D164*E164)</f>
        <v/>
      </c>
      <c r="H164" s="13">
        <f>IF('Product Data'!A164="","",AND($C164&lt;='Box Library'!$C$4,$D164&lt;='Box Library'!$D$4,$E164&lt;='Box Library'!$E$4,$F164&lt;='Box Library'!$F$4))</f>
        <v/>
      </c>
      <c r="I164" s="13">
        <f>IF('Product Data'!A164="","",AND($C164&lt;='Box Library'!$C$5,$D164&lt;='Box Library'!$D$5,$E164&lt;='Box Library'!$E$5,$F164&lt;='Box Library'!$F$5))</f>
        <v/>
      </c>
      <c r="J164" s="13">
        <f>IF('Product Data'!A164="","",AND($C164&lt;='Box Library'!$C$6,$D164&lt;='Box Library'!$D$6,$E164&lt;='Box Library'!$E$6,$F164&lt;='Box Library'!$F$6))</f>
        <v/>
      </c>
      <c r="K164" s="13">
        <f>IF('Product Data'!A164="","",AND($C164&lt;='Box Library'!$C$7,$D164&lt;='Box Library'!$D$7,$E164&lt;='Box Library'!$E$7,$F164&lt;='Box Library'!$F$7))</f>
        <v/>
      </c>
      <c r="L164" s="13">
        <f>IF('Product Data'!A164="","",AND($C164&lt;='Box Library'!$C$8,$D164&lt;='Box Library'!$D$8,$E164&lt;='Box Library'!$E$8,$F164&lt;='Box Library'!$F$8))</f>
        <v/>
      </c>
      <c r="M164" s="13">
        <f>IF('Product Data'!A164="","",IF(H164,'Box Library'!$A$4,IF(I164,'Box Library'!$A$5,IF(J164,'Box Library'!$A$6,IF(K164,'Box Library'!$A$7,IF(L164,'Box Library'!$A$8,"NO BOX FITS"))))))</f>
        <v/>
      </c>
      <c r="N164" s="15">
        <f>IF('Product Data'!A164="","",IF(H164,'Box Library'!$G$4,IF(I164,'Box Library'!$G$5,IF(J164,'Box Library'!$G$6,IF(K164,'Box Library'!$G$7,IF(L164,'Box Library'!$G$8,0))))))</f>
        <v/>
      </c>
      <c r="O164" s="16">
        <f>IF('Product Data'!A164="","",IF(M164="NO BOX FITS",0,G164/(IF(H164,'Box Library'!$H$4,IF(I164,'Box Library'!$H$5,IF(J164,'Box Library'!$H$6,IF(K164,'Box Library'!$H$7,'Box Library'!$H$8)))))))</f>
        <v/>
      </c>
      <c r="P164" s="6">
        <f>IF('Product Data'!A164="","",IF(M164="NO BOX FITS","REVIEW - NO STANDARD BOX FITS","OK"))</f>
        <v/>
      </c>
    </row>
    <row r="165">
      <c r="A165" s="13">
        <f>IF('Product Data'!A165="","",'Product Data'!A165)</f>
        <v/>
      </c>
      <c r="B165" s="13">
        <f>IF('Product Data'!A165="","",'Product Data'!B165)</f>
        <v/>
      </c>
      <c r="C165" s="14">
        <f>IF('Product Data'!A165="","",'Product Data'!C165)</f>
        <v/>
      </c>
      <c r="D165" s="14">
        <f>IF('Product Data'!A165="","",'Product Data'!D165)</f>
        <v/>
      </c>
      <c r="E165" s="14">
        <f>IF('Product Data'!A165="","",'Product Data'!E165)</f>
        <v/>
      </c>
      <c r="F165" s="14">
        <f>IF('Product Data'!A165="","",'Product Data'!F165)</f>
        <v/>
      </c>
      <c r="G165" s="9">
        <f>IF('Product Data'!A165="","",C165*D165*E165)</f>
        <v/>
      </c>
      <c r="H165" s="13">
        <f>IF('Product Data'!A165="","",AND($C165&lt;='Box Library'!$C$4,$D165&lt;='Box Library'!$D$4,$E165&lt;='Box Library'!$E$4,$F165&lt;='Box Library'!$F$4))</f>
        <v/>
      </c>
      <c r="I165" s="13">
        <f>IF('Product Data'!A165="","",AND($C165&lt;='Box Library'!$C$5,$D165&lt;='Box Library'!$D$5,$E165&lt;='Box Library'!$E$5,$F165&lt;='Box Library'!$F$5))</f>
        <v/>
      </c>
      <c r="J165" s="13">
        <f>IF('Product Data'!A165="","",AND($C165&lt;='Box Library'!$C$6,$D165&lt;='Box Library'!$D$6,$E165&lt;='Box Library'!$E$6,$F165&lt;='Box Library'!$F$6))</f>
        <v/>
      </c>
      <c r="K165" s="13">
        <f>IF('Product Data'!A165="","",AND($C165&lt;='Box Library'!$C$7,$D165&lt;='Box Library'!$D$7,$E165&lt;='Box Library'!$E$7,$F165&lt;='Box Library'!$F$7))</f>
        <v/>
      </c>
      <c r="L165" s="13">
        <f>IF('Product Data'!A165="","",AND($C165&lt;='Box Library'!$C$8,$D165&lt;='Box Library'!$D$8,$E165&lt;='Box Library'!$E$8,$F165&lt;='Box Library'!$F$8))</f>
        <v/>
      </c>
      <c r="M165" s="13">
        <f>IF('Product Data'!A165="","",IF(H165,'Box Library'!$A$4,IF(I165,'Box Library'!$A$5,IF(J165,'Box Library'!$A$6,IF(K165,'Box Library'!$A$7,IF(L165,'Box Library'!$A$8,"NO BOX FITS"))))))</f>
        <v/>
      </c>
      <c r="N165" s="15">
        <f>IF('Product Data'!A165="","",IF(H165,'Box Library'!$G$4,IF(I165,'Box Library'!$G$5,IF(J165,'Box Library'!$G$6,IF(K165,'Box Library'!$G$7,IF(L165,'Box Library'!$G$8,0))))))</f>
        <v/>
      </c>
      <c r="O165" s="16">
        <f>IF('Product Data'!A165="","",IF(M165="NO BOX FITS",0,G165/(IF(H165,'Box Library'!$H$4,IF(I165,'Box Library'!$H$5,IF(J165,'Box Library'!$H$6,IF(K165,'Box Library'!$H$7,'Box Library'!$H$8)))))))</f>
        <v/>
      </c>
      <c r="P165" s="6">
        <f>IF('Product Data'!A165="","",IF(M165="NO BOX FITS","REVIEW - NO STANDARD BOX FITS","OK"))</f>
        <v/>
      </c>
    </row>
    <row r="166">
      <c r="A166" s="13">
        <f>IF('Product Data'!A166="","",'Product Data'!A166)</f>
        <v/>
      </c>
      <c r="B166" s="13">
        <f>IF('Product Data'!A166="","",'Product Data'!B166)</f>
        <v/>
      </c>
      <c r="C166" s="14">
        <f>IF('Product Data'!A166="","",'Product Data'!C166)</f>
        <v/>
      </c>
      <c r="D166" s="14">
        <f>IF('Product Data'!A166="","",'Product Data'!D166)</f>
        <v/>
      </c>
      <c r="E166" s="14">
        <f>IF('Product Data'!A166="","",'Product Data'!E166)</f>
        <v/>
      </c>
      <c r="F166" s="14">
        <f>IF('Product Data'!A166="","",'Product Data'!F166)</f>
        <v/>
      </c>
      <c r="G166" s="9">
        <f>IF('Product Data'!A166="","",C166*D166*E166)</f>
        <v/>
      </c>
      <c r="H166" s="13">
        <f>IF('Product Data'!A166="","",AND($C166&lt;='Box Library'!$C$4,$D166&lt;='Box Library'!$D$4,$E166&lt;='Box Library'!$E$4,$F166&lt;='Box Library'!$F$4))</f>
        <v/>
      </c>
      <c r="I166" s="13">
        <f>IF('Product Data'!A166="","",AND($C166&lt;='Box Library'!$C$5,$D166&lt;='Box Library'!$D$5,$E166&lt;='Box Library'!$E$5,$F166&lt;='Box Library'!$F$5))</f>
        <v/>
      </c>
      <c r="J166" s="13">
        <f>IF('Product Data'!A166="","",AND($C166&lt;='Box Library'!$C$6,$D166&lt;='Box Library'!$D$6,$E166&lt;='Box Library'!$E$6,$F166&lt;='Box Library'!$F$6))</f>
        <v/>
      </c>
      <c r="K166" s="13">
        <f>IF('Product Data'!A166="","",AND($C166&lt;='Box Library'!$C$7,$D166&lt;='Box Library'!$D$7,$E166&lt;='Box Library'!$E$7,$F166&lt;='Box Library'!$F$7))</f>
        <v/>
      </c>
      <c r="L166" s="13">
        <f>IF('Product Data'!A166="","",AND($C166&lt;='Box Library'!$C$8,$D166&lt;='Box Library'!$D$8,$E166&lt;='Box Library'!$E$8,$F166&lt;='Box Library'!$F$8))</f>
        <v/>
      </c>
      <c r="M166" s="13">
        <f>IF('Product Data'!A166="","",IF(H166,'Box Library'!$A$4,IF(I166,'Box Library'!$A$5,IF(J166,'Box Library'!$A$6,IF(K166,'Box Library'!$A$7,IF(L166,'Box Library'!$A$8,"NO BOX FITS"))))))</f>
        <v/>
      </c>
      <c r="N166" s="15">
        <f>IF('Product Data'!A166="","",IF(H166,'Box Library'!$G$4,IF(I166,'Box Library'!$G$5,IF(J166,'Box Library'!$G$6,IF(K166,'Box Library'!$G$7,IF(L166,'Box Library'!$G$8,0))))))</f>
        <v/>
      </c>
      <c r="O166" s="16">
        <f>IF('Product Data'!A166="","",IF(M166="NO BOX FITS",0,G166/(IF(H166,'Box Library'!$H$4,IF(I166,'Box Library'!$H$5,IF(J166,'Box Library'!$H$6,IF(K166,'Box Library'!$H$7,'Box Library'!$H$8)))))))</f>
        <v/>
      </c>
      <c r="P166" s="6">
        <f>IF('Product Data'!A166="","",IF(M166="NO BOX FITS","REVIEW - NO STANDARD BOX FITS","OK"))</f>
        <v/>
      </c>
    </row>
    <row r="167">
      <c r="A167" s="13">
        <f>IF('Product Data'!A167="","",'Product Data'!A167)</f>
        <v/>
      </c>
      <c r="B167" s="13">
        <f>IF('Product Data'!A167="","",'Product Data'!B167)</f>
        <v/>
      </c>
      <c r="C167" s="14">
        <f>IF('Product Data'!A167="","",'Product Data'!C167)</f>
        <v/>
      </c>
      <c r="D167" s="14">
        <f>IF('Product Data'!A167="","",'Product Data'!D167)</f>
        <v/>
      </c>
      <c r="E167" s="14">
        <f>IF('Product Data'!A167="","",'Product Data'!E167)</f>
        <v/>
      </c>
      <c r="F167" s="14">
        <f>IF('Product Data'!A167="","",'Product Data'!F167)</f>
        <v/>
      </c>
      <c r="G167" s="9">
        <f>IF('Product Data'!A167="","",C167*D167*E167)</f>
        <v/>
      </c>
      <c r="H167" s="13">
        <f>IF('Product Data'!A167="","",AND($C167&lt;='Box Library'!$C$4,$D167&lt;='Box Library'!$D$4,$E167&lt;='Box Library'!$E$4,$F167&lt;='Box Library'!$F$4))</f>
        <v/>
      </c>
      <c r="I167" s="13">
        <f>IF('Product Data'!A167="","",AND($C167&lt;='Box Library'!$C$5,$D167&lt;='Box Library'!$D$5,$E167&lt;='Box Library'!$E$5,$F167&lt;='Box Library'!$F$5))</f>
        <v/>
      </c>
      <c r="J167" s="13">
        <f>IF('Product Data'!A167="","",AND($C167&lt;='Box Library'!$C$6,$D167&lt;='Box Library'!$D$6,$E167&lt;='Box Library'!$E$6,$F167&lt;='Box Library'!$F$6))</f>
        <v/>
      </c>
      <c r="K167" s="13">
        <f>IF('Product Data'!A167="","",AND($C167&lt;='Box Library'!$C$7,$D167&lt;='Box Library'!$D$7,$E167&lt;='Box Library'!$E$7,$F167&lt;='Box Library'!$F$7))</f>
        <v/>
      </c>
      <c r="L167" s="13">
        <f>IF('Product Data'!A167="","",AND($C167&lt;='Box Library'!$C$8,$D167&lt;='Box Library'!$D$8,$E167&lt;='Box Library'!$E$8,$F167&lt;='Box Library'!$F$8))</f>
        <v/>
      </c>
      <c r="M167" s="13">
        <f>IF('Product Data'!A167="","",IF(H167,'Box Library'!$A$4,IF(I167,'Box Library'!$A$5,IF(J167,'Box Library'!$A$6,IF(K167,'Box Library'!$A$7,IF(L167,'Box Library'!$A$8,"NO BOX FITS"))))))</f>
        <v/>
      </c>
      <c r="N167" s="15">
        <f>IF('Product Data'!A167="","",IF(H167,'Box Library'!$G$4,IF(I167,'Box Library'!$G$5,IF(J167,'Box Library'!$G$6,IF(K167,'Box Library'!$G$7,IF(L167,'Box Library'!$G$8,0))))))</f>
        <v/>
      </c>
      <c r="O167" s="16">
        <f>IF('Product Data'!A167="","",IF(M167="NO BOX FITS",0,G167/(IF(H167,'Box Library'!$H$4,IF(I167,'Box Library'!$H$5,IF(J167,'Box Library'!$H$6,IF(K167,'Box Library'!$H$7,'Box Library'!$H$8)))))))</f>
        <v/>
      </c>
      <c r="P167" s="6">
        <f>IF('Product Data'!A167="","",IF(M167="NO BOX FITS","REVIEW - NO STANDARD BOX FITS","OK"))</f>
        <v/>
      </c>
    </row>
    <row r="168">
      <c r="A168" s="13">
        <f>IF('Product Data'!A168="","",'Product Data'!A168)</f>
        <v/>
      </c>
      <c r="B168" s="13">
        <f>IF('Product Data'!A168="","",'Product Data'!B168)</f>
        <v/>
      </c>
      <c r="C168" s="14">
        <f>IF('Product Data'!A168="","",'Product Data'!C168)</f>
        <v/>
      </c>
      <c r="D168" s="14">
        <f>IF('Product Data'!A168="","",'Product Data'!D168)</f>
        <v/>
      </c>
      <c r="E168" s="14">
        <f>IF('Product Data'!A168="","",'Product Data'!E168)</f>
        <v/>
      </c>
      <c r="F168" s="14">
        <f>IF('Product Data'!A168="","",'Product Data'!F168)</f>
        <v/>
      </c>
      <c r="G168" s="9">
        <f>IF('Product Data'!A168="","",C168*D168*E168)</f>
        <v/>
      </c>
      <c r="H168" s="13">
        <f>IF('Product Data'!A168="","",AND($C168&lt;='Box Library'!$C$4,$D168&lt;='Box Library'!$D$4,$E168&lt;='Box Library'!$E$4,$F168&lt;='Box Library'!$F$4))</f>
        <v/>
      </c>
      <c r="I168" s="13">
        <f>IF('Product Data'!A168="","",AND($C168&lt;='Box Library'!$C$5,$D168&lt;='Box Library'!$D$5,$E168&lt;='Box Library'!$E$5,$F168&lt;='Box Library'!$F$5))</f>
        <v/>
      </c>
      <c r="J168" s="13">
        <f>IF('Product Data'!A168="","",AND($C168&lt;='Box Library'!$C$6,$D168&lt;='Box Library'!$D$6,$E168&lt;='Box Library'!$E$6,$F168&lt;='Box Library'!$F$6))</f>
        <v/>
      </c>
      <c r="K168" s="13">
        <f>IF('Product Data'!A168="","",AND($C168&lt;='Box Library'!$C$7,$D168&lt;='Box Library'!$D$7,$E168&lt;='Box Library'!$E$7,$F168&lt;='Box Library'!$F$7))</f>
        <v/>
      </c>
      <c r="L168" s="13">
        <f>IF('Product Data'!A168="","",AND($C168&lt;='Box Library'!$C$8,$D168&lt;='Box Library'!$D$8,$E168&lt;='Box Library'!$E$8,$F168&lt;='Box Library'!$F$8))</f>
        <v/>
      </c>
      <c r="M168" s="13">
        <f>IF('Product Data'!A168="","",IF(H168,'Box Library'!$A$4,IF(I168,'Box Library'!$A$5,IF(J168,'Box Library'!$A$6,IF(K168,'Box Library'!$A$7,IF(L168,'Box Library'!$A$8,"NO BOX FITS"))))))</f>
        <v/>
      </c>
      <c r="N168" s="15">
        <f>IF('Product Data'!A168="","",IF(H168,'Box Library'!$G$4,IF(I168,'Box Library'!$G$5,IF(J168,'Box Library'!$G$6,IF(K168,'Box Library'!$G$7,IF(L168,'Box Library'!$G$8,0))))))</f>
        <v/>
      </c>
      <c r="O168" s="16">
        <f>IF('Product Data'!A168="","",IF(M168="NO BOX FITS",0,G168/(IF(H168,'Box Library'!$H$4,IF(I168,'Box Library'!$H$5,IF(J168,'Box Library'!$H$6,IF(K168,'Box Library'!$H$7,'Box Library'!$H$8)))))))</f>
        <v/>
      </c>
      <c r="P168" s="6">
        <f>IF('Product Data'!A168="","",IF(M168="NO BOX FITS","REVIEW - NO STANDARD BOX FITS","OK"))</f>
        <v/>
      </c>
    </row>
    <row r="169">
      <c r="A169" s="13">
        <f>IF('Product Data'!A169="","",'Product Data'!A169)</f>
        <v/>
      </c>
      <c r="B169" s="13">
        <f>IF('Product Data'!A169="","",'Product Data'!B169)</f>
        <v/>
      </c>
      <c r="C169" s="14">
        <f>IF('Product Data'!A169="","",'Product Data'!C169)</f>
        <v/>
      </c>
      <c r="D169" s="14">
        <f>IF('Product Data'!A169="","",'Product Data'!D169)</f>
        <v/>
      </c>
      <c r="E169" s="14">
        <f>IF('Product Data'!A169="","",'Product Data'!E169)</f>
        <v/>
      </c>
      <c r="F169" s="14">
        <f>IF('Product Data'!A169="","",'Product Data'!F169)</f>
        <v/>
      </c>
      <c r="G169" s="9">
        <f>IF('Product Data'!A169="","",C169*D169*E169)</f>
        <v/>
      </c>
      <c r="H169" s="13">
        <f>IF('Product Data'!A169="","",AND($C169&lt;='Box Library'!$C$4,$D169&lt;='Box Library'!$D$4,$E169&lt;='Box Library'!$E$4,$F169&lt;='Box Library'!$F$4))</f>
        <v/>
      </c>
      <c r="I169" s="13">
        <f>IF('Product Data'!A169="","",AND($C169&lt;='Box Library'!$C$5,$D169&lt;='Box Library'!$D$5,$E169&lt;='Box Library'!$E$5,$F169&lt;='Box Library'!$F$5))</f>
        <v/>
      </c>
      <c r="J169" s="13">
        <f>IF('Product Data'!A169="","",AND($C169&lt;='Box Library'!$C$6,$D169&lt;='Box Library'!$D$6,$E169&lt;='Box Library'!$E$6,$F169&lt;='Box Library'!$F$6))</f>
        <v/>
      </c>
      <c r="K169" s="13">
        <f>IF('Product Data'!A169="","",AND($C169&lt;='Box Library'!$C$7,$D169&lt;='Box Library'!$D$7,$E169&lt;='Box Library'!$E$7,$F169&lt;='Box Library'!$F$7))</f>
        <v/>
      </c>
      <c r="L169" s="13">
        <f>IF('Product Data'!A169="","",AND($C169&lt;='Box Library'!$C$8,$D169&lt;='Box Library'!$D$8,$E169&lt;='Box Library'!$E$8,$F169&lt;='Box Library'!$F$8))</f>
        <v/>
      </c>
      <c r="M169" s="13">
        <f>IF('Product Data'!A169="","",IF(H169,'Box Library'!$A$4,IF(I169,'Box Library'!$A$5,IF(J169,'Box Library'!$A$6,IF(K169,'Box Library'!$A$7,IF(L169,'Box Library'!$A$8,"NO BOX FITS"))))))</f>
        <v/>
      </c>
      <c r="N169" s="15">
        <f>IF('Product Data'!A169="","",IF(H169,'Box Library'!$G$4,IF(I169,'Box Library'!$G$5,IF(J169,'Box Library'!$G$6,IF(K169,'Box Library'!$G$7,IF(L169,'Box Library'!$G$8,0))))))</f>
        <v/>
      </c>
      <c r="O169" s="16">
        <f>IF('Product Data'!A169="","",IF(M169="NO BOX FITS",0,G169/(IF(H169,'Box Library'!$H$4,IF(I169,'Box Library'!$H$5,IF(J169,'Box Library'!$H$6,IF(K169,'Box Library'!$H$7,'Box Library'!$H$8)))))))</f>
        <v/>
      </c>
      <c r="P169" s="6">
        <f>IF('Product Data'!A169="","",IF(M169="NO BOX FITS","REVIEW - NO STANDARD BOX FITS","OK"))</f>
        <v/>
      </c>
    </row>
    <row r="170">
      <c r="A170" s="13">
        <f>IF('Product Data'!A170="","",'Product Data'!A170)</f>
        <v/>
      </c>
      <c r="B170" s="13">
        <f>IF('Product Data'!A170="","",'Product Data'!B170)</f>
        <v/>
      </c>
      <c r="C170" s="14">
        <f>IF('Product Data'!A170="","",'Product Data'!C170)</f>
        <v/>
      </c>
      <c r="D170" s="14">
        <f>IF('Product Data'!A170="","",'Product Data'!D170)</f>
        <v/>
      </c>
      <c r="E170" s="14">
        <f>IF('Product Data'!A170="","",'Product Data'!E170)</f>
        <v/>
      </c>
      <c r="F170" s="14">
        <f>IF('Product Data'!A170="","",'Product Data'!F170)</f>
        <v/>
      </c>
      <c r="G170" s="9">
        <f>IF('Product Data'!A170="","",C170*D170*E170)</f>
        <v/>
      </c>
      <c r="H170" s="13">
        <f>IF('Product Data'!A170="","",AND($C170&lt;='Box Library'!$C$4,$D170&lt;='Box Library'!$D$4,$E170&lt;='Box Library'!$E$4,$F170&lt;='Box Library'!$F$4))</f>
        <v/>
      </c>
      <c r="I170" s="13">
        <f>IF('Product Data'!A170="","",AND($C170&lt;='Box Library'!$C$5,$D170&lt;='Box Library'!$D$5,$E170&lt;='Box Library'!$E$5,$F170&lt;='Box Library'!$F$5))</f>
        <v/>
      </c>
      <c r="J170" s="13">
        <f>IF('Product Data'!A170="","",AND($C170&lt;='Box Library'!$C$6,$D170&lt;='Box Library'!$D$6,$E170&lt;='Box Library'!$E$6,$F170&lt;='Box Library'!$F$6))</f>
        <v/>
      </c>
      <c r="K170" s="13">
        <f>IF('Product Data'!A170="","",AND($C170&lt;='Box Library'!$C$7,$D170&lt;='Box Library'!$D$7,$E170&lt;='Box Library'!$E$7,$F170&lt;='Box Library'!$F$7))</f>
        <v/>
      </c>
      <c r="L170" s="13">
        <f>IF('Product Data'!A170="","",AND($C170&lt;='Box Library'!$C$8,$D170&lt;='Box Library'!$D$8,$E170&lt;='Box Library'!$E$8,$F170&lt;='Box Library'!$F$8))</f>
        <v/>
      </c>
      <c r="M170" s="13">
        <f>IF('Product Data'!A170="","",IF(H170,'Box Library'!$A$4,IF(I170,'Box Library'!$A$5,IF(J170,'Box Library'!$A$6,IF(K170,'Box Library'!$A$7,IF(L170,'Box Library'!$A$8,"NO BOX FITS"))))))</f>
        <v/>
      </c>
      <c r="N170" s="15">
        <f>IF('Product Data'!A170="","",IF(H170,'Box Library'!$G$4,IF(I170,'Box Library'!$G$5,IF(J170,'Box Library'!$G$6,IF(K170,'Box Library'!$G$7,IF(L170,'Box Library'!$G$8,0))))))</f>
        <v/>
      </c>
      <c r="O170" s="16">
        <f>IF('Product Data'!A170="","",IF(M170="NO BOX FITS",0,G170/(IF(H170,'Box Library'!$H$4,IF(I170,'Box Library'!$H$5,IF(J170,'Box Library'!$H$6,IF(K170,'Box Library'!$H$7,'Box Library'!$H$8)))))))</f>
        <v/>
      </c>
      <c r="P170" s="6">
        <f>IF('Product Data'!A170="","",IF(M170="NO BOX FITS","REVIEW - NO STANDARD BOX FITS","OK"))</f>
        <v/>
      </c>
    </row>
    <row r="171">
      <c r="A171" s="13">
        <f>IF('Product Data'!A171="","",'Product Data'!A171)</f>
        <v/>
      </c>
      <c r="B171" s="13">
        <f>IF('Product Data'!A171="","",'Product Data'!B171)</f>
        <v/>
      </c>
      <c r="C171" s="14">
        <f>IF('Product Data'!A171="","",'Product Data'!C171)</f>
        <v/>
      </c>
      <c r="D171" s="14">
        <f>IF('Product Data'!A171="","",'Product Data'!D171)</f>
        <v/>
      </c>
      <c r="E171" s="14">
        <f>IF('Product Data'!A171="","",'Product Data'!E171)</f>
        <v/>
      </c>
      <c r="F171" s="14">
        <f>IF('Product Data'!A171="","",'Product Data'!F171)</f>
        <v/>
      </c>
      <c r="G171" s="9">
        <f>IF('Product Data'!A171="","",C171*D171*E171)</f>
        <v/>
      </c>
      <c r="H171" s="13">
        <f>IF('Product Data'!A171="","",AND($C171&lt;='Box Library'!$C$4,$D171&lt;='Box Library'!$D$4,$E171&lt;='Box Library'!$E$4,$F171&lt;='Box Library'!$F$4))</f>
        <v/>
      </c>
      <c r="I171" s="13">
        <f>IF('Product Data'!A171="","",AND($C171&lt;='Box Library'!$C$5,$D171&lt;='Box Library'!$D$5,$E171&lt;='Box Library'!$E$5,$F171&lt;='Box Library'!$F$5))</f>
        <v/>
      </c>
      <c r="J171" s="13">
        <f>IF('Product Data'!A171="","",AND($C171&lt;='Box Library'!$C$6,$D171&lt;='Box Library'!$D$6,$E171&lt;='Box Library'!$E$6,$F171&lt;='Box Library'!$F$6))</f>
        <v/>
      </c>
      <c r="K171" s="13">
        <f>IF('Product Data'!A171="","",AND($C171&lt;='Box Library'!$C$7,$D171&lt;='Box Library'!$D$7,$E171&lt;='Box Library'!$E$7,$F171&lt;='Box Library'!$F$7))</f>
        <v/>
      </c>
      <c r="L171" s="13">
        <f>IF('Product Data'!A171="","",AND($C171&lt;='Box Library'!$C$8,$D171&lt;='Box Library'!$D$8,$E171&lt;='Box Library'!$E$8,$F171&lt;='Box Library'!$F$8))</f>
        <v/>
      </c>
      <c r="M171" s="13">
        <f>IF('Product Data'!A171="","",IF(H171,'Box Library'!$A$4,IF(I171,'Box Library'!$A$5,IF(J171,'Box Library'!$A$6,IF(K171,'Box Library'!$A$7,IF(L171,'Box Library'!$A$8,"NO BOX FITS"))))))</f>
        <v/>
      </c>
      <c r="N171" s="15">
        <f>IF('Product Data'!A171="","",IF(H171,'Box Library'!$G$4,IF(I171,'Box Library'!$G$5,IF(J171,'Box Library'!$G$6,IF(K171,'Box Library'!$G$7,IF(L171,'Box Library'!$G$8,0))))))</f>
        <v/>
      </c>
      <c r="O171" s="16">
        <f>IF('Product Data'!A171="","",IF(M171="NO BOX FITS",0,G171/(IF(H171,'Box Library'!$H$4,IF(I171,'Box Library'!$H$5,IF(J171,'Box Library'!$H$6,IF(K171,'Box Library'!$H$7,'Box Library'!$H$8)))))))</f>
        <v/>
      </c>
      <c r="P171" s="6">
        <f>IF('Product Data'!A171="","",IF(M171="NO BOX FITS","REVIEW - NO STANDARD BOX FITS","OK"))</f>
        <v/>
      </c>
    </row>
    <row r="172">
      <c r="A172" s="13">
        <f>IF('Product Data'!A172="","",'Product Data'!A172)</f>
        <v/>
      </c>
      <c r="B172" s="13">
        <f>IF('Product Data'!A172="","",'Product Data'!B172)</f>
        <v/>
      </c>
      <c r="C172" s="14">
        <f>IF('Product Data'!A172="","",'Product Data'!C172)</f>
        <v/>
      </c>
      <c r="D172" s="14">
        <f>IF('Product Data'!A172="","",'Product Data'!D172)</f>
        <v/>
      </c>
      <c r="E172" s="14">
        <f>IF('Product Data'!A172="","",'Product Data'!E172)</f>
        <v/>
      </c>
      <c r="F172" s="14">
        <f>IF('Product Data'!A172="","",'Product Data'!F172)</f>
        <v/>
      </c>
      <c r="G172" s="9">
        <f>IF('Product Data'!A172="","",C172*D172*E172)</f>
        <v/>
      </c>
      <c r="H172" s="13">
        <f>IF('Product Data'!A172="","",AND($C172&lt;='Box Library'!$C$4,$D172&lt;='Box Library'!$D$4,$E172&lt;='Box Library'!$E$4,$F172&lt;='Box Library'!$F$4))</f>
        <v/>
      </c>
      <c r="I172" s="13">
        <f>IF('Product Data'!A172="","",AND($C172&lt;='Box Library'!$C$5,$D172&lt;='Box Library'!$D$5,$E172&lt;='Box Library'!$E$5,$F172&lt;='Box Library'!$F$5))</f>
        <v/>
      </c>
      <c r="J172" s="13">
        <f>IF('Product Data'!A172="","",AND($C172&lt;='Box Library'!$C$6,$D172&lt;='Box Library'!$D$6,$E172&lt;='Box Library'!$E$6,$F172&lt;='Box Library'!$F$6))</f>
        <v/>
      </c>
      <c r="K172" s="13">
        <f>IF('Product Data'!A172="","",AND($C172&lt;='Box Library'!$C$7,$D172&lt;='Box Library'!$D$7,$E172&lt;='Box Library'!$E$7,$F172&lt;='Box Library'!$F$7))</f>
        <v/>
      </c>
      <c r="L172" s="13">
        <f>IF('Product Data'!A172="","",AND($C172&lt;='Box Library'!$C$8,$D172&lt;='Box Library'!$D$8,$E172&lt;='Box Library'!$E$8,$F172&lt;='Box Library'!$F$8))</f>
        <v/>
      </c>
      <c r="M172" s="13">
        <f>IF('Product Data'!A172="","",IF(H172,'Box Library'!$A$4,IF(I172,'Box Library'!$A$5,IF(J172,'Box Library'!$A$6,IF(K172,'Box Library'!$A$7,IF(L172,'Box Library'!$A$8,"NO BOX FITS"))))))</f>
        <v/>
      </c>
      <c r="N172" s="15">
        <f>IF('Product Data'!A172="","",IF(H172,'Box Library'!$G$4,IF(I172,'Box Library'!$G$5,IF(J172,'Box Library'!$G$6,IF(K172,'Box Library'!$G$7,IF(L172,'Box Library'!$G$8,0))))))</f>
        <v/>
      </c>
      <c r="O172" s="16">
        <f>IF('Product Data'!A172="","",IF(M172="NO BOX FITS",0,G172/(IF(H172,'Box Library'!$H$4,IF(I172,'Box Library'!$H$5,IF(J172,'Box Library'!$H$6,IF(K172,'Box Library'!$H$7,'Box Library'!$H$8)))))))</f>
        <v/>
      </c>
      <c r="P172" s="6">
        <f>IF('Product Data'!A172="","",IF(M172="NO BOX FITS","REVIEW - NO STANDARD BOX FITS","OK"))</f>
        <v/>
      </c>
    </row>
    <row r="173">
      <c r="A173" s="13">
        <f>IF('Product Data'!A173="","",'Product Data'!A173)</f>
        <v/>
      </c>
      <c r="B173" s="13">
        <f>IF('Product Data'!A173="","",'Product Data'!B173)</f>
        <v/>
      </c>
      <c r="C173" s="14">
        <f>IF('Product Data'!A173="","",'Product Data'!C173)</f>
        <v/>
      </c>
      <c r="D173" s="14">
        <f>IF('Product Data'!A173="","",'Product Data'!D173)</f>
        <v/>
      </c>
      <c r="E173" s="14">
        <f>IF('Product Data'!A173="","",'Product Data'!E173)</f>
        <v/>
      </c>
      <c r="F173" s="14">
        <f>IF('Product Data'!A173="","",'Product Data'!F173)</f>
        <v/>
      </c>
      <c r="G173" s="9">
        <f>IF('Product Data'!A173="","",C173*D173*E173)</f>
        <v/>
      </c>
      <c r="H173" s="13">
        <f>IF('Product Data'!A173="","",AND($C173&lt;='Box Library'!$C$4,$D173&lt;='Box Library'!$D$4,$E173&lt;='Box Library'!$E$4,$F173&lt;='Box Library'!$F$4))</f>
        <v/>
      </c>
      <c r="I173" s="13">
        <f>IF('Product Data'!A173="","",AND($C173&lt;='Box Library'!$C$5,$D173&lt;='Box Library'!$D$5,$E173&lt;='Box Library'!$E$5,$F173&lt;='Box Library'!$F$5))</f>
        <v/>
      </c>
      <c r="J173" s="13">
        <f>IF('Product Data'!A173="","",AND($C173&lt;='Box Library'!$C$6,$D173&lt;='Box Library'!$D$6,$E173&lt;='Box Library'!$E$6,$F173&lt;='Box Library'!$F$6))</f>
        <v/>
      </c>
      <c r="K173" s="13">
        <f>IF('Product Data'!A173="","",AND($C173&lt;='Box Library'!$C$7,$D173&lt;='Box Library'!$D$7,$E173&lt;='Box Library'!$E$7,$F173&lt;='Box Library'!$F$7))</f>
        <v/>
      </c>
      <c r="L173" s="13">
        <f>IF('Product Data'!A173="","",AND($C173&lt;='Box Library'!$C$8,$D173&lt;='Box Library'!$D$8,$E173&lt;='Box Library'!$E$8,$F173&lt;='Box Library'!$F$8))</f>
        <v/>
      </c>
      <c r="M173" s="13">
        <f>IF('Product Data'!A173="","",IF(H173,'Box Library'!$A$4,IF(I173,'Box Library'!$A$5,IF(J173,'Box Library'!$A$6,IF(K173,'Box Library'!$A$7,IF(L173,'Box Library'!$A$8,"NO BOX FITS"))))))</f>
        <v/>
      </c>
      <c r="N173" s="15">
        <f>IF('Product Data'!A173="","",IF(H173,'Box Library'!$G$4,IF(I173,'Box Library'!$G$5,IF(J173,'Box Library'!$G$6,IF(K173,'Box Library'!$G$7,IF(L173,'Box Library'!$G$8,0))))))</f>
        <v/>
      </c>
      <c r="O173" s="16">
        <f>IF('Product Data'!A173="","",IF(M173="NO BOX FITS",0,G173/(IF(H173,'Box Library'!$H$4,IF(I173,'Box Library'!$H$5,IF(J173,'Box Library'!$H$6,IF(K173,'Box Library'!$H$7,'Box Library'!$H$8)))))))</f>
        <v/>
      </c>
      <c r="P173" s="6">
        <f>IF('Product Data'!A173="","",IF(M173="NO BOX FITS","REVIEW - NO STANDARD BOX FITS","OK"))</f>
        <v/>
      </c>
    </row>
    <row r="174">
      <c r="A174" s="13">
        <f>IF('Product Data'!A174="","",'Product Data'!A174)</f>
        <v/>
      </c>
      <c r="B174" s="13">
        <f>IF('Product Data'!A174="","",'Product Data'!B174)</f>
        <v/>
      </c>
      <c r="C174" s="14">
        <f>IF('Product Data'!A174="","",'Product Data'!C174)</f>
        <v/>
      </c>
      <c r="D174" s="14">
        <f>IF('Product Data'!A174="","",'Product Data'!D174)</f>
        <v/>
      </c>
      <c r="E174" s="14">
        <f>IF('Product Data'!A174="","",'Product Data'!E174)</f>
        <v/>
      </c>
      <c r="F174" s="14">
        <f>IF('Product Data'!A174="","",'Product Data'!F174)</f>
        <v/>
      </c>
      <c r="G174" s="9">
        <f>IF('Product Data'!A174="","",C174*D174*E174)</f>
        <v/>
      </c>
      <c r="H174" s="13">
        <f>IF('Product Data'!A174="","",AND($C174&lt;='Box Library'!$C$4,$D174&lt;='Box Library'!$D$4,$E174&lt;='Box Library'!$E$4,$F174&lt;='Box Library'!$F$4))</f>
        <v/>
      </c>
      <c r="I174" s="13">
        <f>IF('Product Data'!A174="","",AND($C174&lt;='Box Library'!$C$5,$D174&lt;='Box Library'!$D$5,$E174&lt;='Box Library'!$E$5,$F174&lt;='Box Library'!$F$5))</f>
        <v/>
      </c>
      <c r="J174" s="13">
        <f>IF('Product Data'!A174="","",AND($C174&lt;='Box Library'!$C$6,$D174&lt;='Box Library'!$D$6,$E174&lt;='Box Library'!$E$6,$F174&lt;='Box Library'!$F$6))</f>
        <v/>
      </c>
      <c r="K174" s="13">
        <f>IF('Product Data'!A174="","",AND($C174&lt;='Box Library'!$C$7,$D174&lt;='Box Library'!$D$7,$E174&lt;='Box Library'!$E$7,$F174&lt;='Box Library'!$F$7))</f>
        <v/>
      </c>
      <c r="L174" s="13">
        <f>IF('Product Data'!A174="","",AND($C174&lt;='Box Library'!$C$8,$D174&lt;='Box Library'!$D$8,$E174&lt;='Box Library'!$E$8,$F174&lt;='Box Library'!$F$8))</f>
        <v/>
      </c>
      <c r="M174" s="13">
        <f>IF('Product Data'!A174="","",IF(H174,'Box Library'!$A$4,IF(I174,'Box Library'!$A$5,IF(J174,'Box Library'!$A$6,IF(K174,'Box Library'!$A$7,IF(L174,'Box Library'!$A$8,"NO BOX FITS"))))))</f>
        <v/>
      </c>
      <c r="N174" s="15">
        <f>IF('Product Data'!A174="","",IF(H174,'Box Library'!$G$4,IF(I174,'Box Library'!$G$5,IF(J174,'Box Library'!$G$6,IF(K174,'Box Library'!$G$7,IF(L174,'Box Library'!$G$8,0))))))</f>
        <v/>
      </c>
      <c r="O174" s="16">
        <f>IF('Product Data'!A174="","",IF(M174="NO BOX FITS",0,G174/(IF(H174,'Box Library'!$H$4,IF(I174,'Box Library'!$H$5,IF(J174,'Box Library'!$H$6,IF(K174,'Box Library'!$H$7,'Box Library'!$H$8)))))))</f>
        <v/>
      </c>
      <c r="P174" s="6">
        <f>IF('Product Data'!A174="","",IF(M174="NO BOX FITS","REVIEW - NO STANDARD BOX FITS","OK"))</f>
        <v/>
      </c>
    </row>
    <row r="175">
      <c r="A175" s="13">
        <f>IF('Product Data'!A175="","",'Product Data'!A175)</f>
        <v/>
      </c>
      <c r="B175" s="13">
        <f>IF('Product Data'!A175="","",'Product Data'!B175)</f>
        <v/>
      </c>
      <c r="C175" s="14">
        <f>IF('Product Data'!A175="","",'Product Data'!C175)</f>
        <v/>
      </c>
      <c r="D175" s="14">
        <f>IF('Product Data'!A175="","",'Product Data'!D175)</f>
        <v/>
      </c>
      <c r="E175" s="14">
        <f>IF('Product Data'!A175="","",'Product Data'!E175)</f>
        <v/>
      </c>
      <c r="F175" s="14">
        <f>IF('Product Data'!A175="","",'Product Data'!F175)</f>
        <v/>
      </c>
      <c r="G175" s="9">
        <f>IF('Product Data'!A175="","",C175*D175*E175)</f>
        <v/>
      </c>
      <c r="H175" s="13">
        <f>IF('Product Data'!A175="","",AND($C175&lt;='Box Library'!$C$4,$D175&lt;='Box Library'!$D$4,$E175&lt;='Box Library'!$E$4,$F175&lt;='Box Library'!$F$4))</f>
        <v/>
      </c>
      <c r="I175" s="13">
        <f>IF('Product Data'!A175="","",AND($C175&lt;='Box Library'!$C$5,$D175&lt;='Box Library'!$D$5,$E175&lt;='Box Library'!$E$5,$F175&lt;='Box Library'!$F$5))</f>
        <v/>
      </c>
      <c r="J175" s="13">
        <f>IF('Product Data'!A175="","",AND($C175&lt;='Box Library'!$C$6,$D175&lt;='Box Library'!$D$6,$E175&lt;='Box Library'!$E$6,$F175&lt;='Box Library'!$F$6))</f>
        <v/>
      </c>
      <c r="K175" s="13">
        <f>IF('Product Data'!A175="","",AND($C175&lt;='Box Library'!$C$7,$D175&lt;='Box Library'!$D$7,$E175&lt;='Box Library'!$E$7,$F175&lt;='Box Library'!$F$7))</f>
        <v/>
      </c>
      <c r="L175" s="13">
        <f>IF('Product Data'!A175="","",AND($C175&lt;='Box Library'!$C$8,$D175&lt;='Box Library'!$D$8,$E175&lt;='Box Library'!$E$8,$F175&lt;='Box Library'!$F$8))</f>
        <v/>
      </c>
      <c r="M175" s="13">
        <f>IF('Product Data'!A175="","",IF(H175,'Box Library'!$A$4,IF(I175,'Box Library'!$A$5,IF(J175,'Box Library'!$A$6,IF(K175,'Box Library'!$A$7,IF(L175,'Box Library'!$A$8,"NO BOX FITS"))))))</f>
        <v/>
      </c>
      <c r="N175" s="15">
        <f>IF('Product Data'!A175="","",IF(H175,'Box Library'!$G$4,IF(I175,'Box Library'!$G$5,IF(J175,'Box Library'!$G$6,IF(K175,'Box Library'!$G$7,IF(L175,'Box Library'!$G$8,0))))))</f>
        <v/>
      </c>
      <c r="O175" s="16">
        <f>IF('Product Data'!A175="","",IF(M175="NO BOX FITS",0,G175/(IF(H175,'Box Library'!$H$4,IF(I175,'Box Library'!$H$5,IF(J175,'Box Library'!$H$6,IF(K175,'Box Library'!$H$7,'Box Library'!$H$8)))))))</f>
        <v/>
      </c>
      <c r="P175" s="6">
        <f>IF('Product Data'!A175="","",IF(M175="NO BOX FITS","REVIEW - NO STANDARD BOX FITS","OK"))</f>
        <v/>
      </c>
    </row>
    <row r="176">
      <c r="A176" s="13">
        <f>IF('Product Data'!A176="","",'Product Data'!A176)</f>
        <v/>
      </c>
      <c r="B176" s="13">
        <f>IF('Product Data'!A176="","",'Product Data'!B176)</f>
        <v/>
      </c>
      <c r="C176" s="14">
        <f>IF('Product Data'!A176="","",'Product Data'!C176)</f>
        <v/>
      </c>
      <c r="D176" s="14">
        <f>IF('Product Data'!A176="","",'Product Data'!D176)</f>
        <v/>
      </c>
      <c r="E176" s="14">
        <f>IF('Product Data'!A176="","",'Product Data'!E176)</f>
        <v/>
      </c>
      <c r="F176" s="14">
        <f>IF('Product Data'!A176="","",'Product Data'!F176)</f>
        <v/>
      </c>
      <c r="G176" s="9">
        <f>IF('Product Data'!A176="","",C176*D176*E176)</f>
        <v/>
      </c>
      <c r="H176" s="13">
        <f>IF('Product Data'!A176="","",AND($C176&lt;='Box Library'!$C$4,$D176&lt;='Box Library'!$D$4,$E176&lt;='Box Library'!$E$4,$F176&lt;='Box Library'!$F$4))</f>
        <v/>
      </c>
      <c r="I176" s="13">
        <f>IF('Product Data'!A176="","",AND($C176&lt;='Box Library'!$C$5,$D176&lt;='Box Library'!$D$5,$E176&lt;='Box Library'!$E$5,$F176&lt;='Box Library'!$F$5))</f>
        <v/>
      </c>
      <c r="J176" s="13">
        <f>IF('Product Data'!A176="","",AND($C176&lt;='Box Library'!$C$6,$D176&lt;='Box Library'!$D$6,$E176&lt;='Box Library'!$E$6,$F176&lt;='Box Library'!$F$6))</f>
        <v/>
      </c>
      <c r="K176" s="13">
        <f>IF('Product Data'!A176="","",AND($C176&lt;='Box Library'!$C$7,$D176&lt;='Box Library'!$D$7,$E176&lt;='Box Library'!$E$7,$F176&lt;='Box Library'!$F$7))</f>
        <v/>
      </c>
      <c r="L176" s="13">
        <f>IF('Product Data'!A176="","",AND($C176&lt;='Box Library'!$C$8,$D176&lt;='Box Library'!$D$8,$E176&lt;='Box Library'!$E$8,$F176&lt;='Box Library'!$F$8))</f>
        <v/>
      </c>
      <c r="M176" s="13">
        <f>IF('Product Data'!A176="","",IF(H176,'Box Library'!$A$4,IF(I176,'Box Library'!$A$5,IF(J176,'Box Library'!$A$6,IF(K176,'Box Library'!$A$7,IF(L176,'Box Library'!$A$8,"NO BOX FITS"))))))</f>
        <v/>
      </c>
      <c r="N176" s="15">
        <f>IF('Product Data'!A176="","",IF(H176,'Box Library'!$G$4,IF(I176,'Box Library'!$G$5,IF(J176,'Box Library'!$G$6,IF(K176,'Box Library'!$G$7,IF(L176,'Box Library'!$G$8,0))))))</f>
        <v/>
      </c>
      <c r="O176" s="16">
        <f>IF('Product Data'!A176="","",IF(M176="NO BOX FITS",0,G176/(IF(H176,'Box Library'!$H$4,IF(I176,'Box Library'!$H$5,IF(J176,'Box Library'!$H$6,IF(K176,'Box Library'!$H$7,'Box Library'!$H$8)))))))</f>
        <v/>
      </c>
      <c r="P176" s="6">
        <f>IF('Product Data'!A176="","",IF(M176="NO BOX FITS","REVIEW - NO STANDARD BOX FITS","OK"))</f>
        <v/>
      </c>
    </row>
    <row r="177">
      <c r="A177" s="13">
        <f>IF('Product Data'!A177="","",'Product Data'!A177)</f>
        <v/>
      </c>
      <c r="B177" s="13">
        <f>IF('Product Data'!A177="","",'Product Data'!B177)</f>
        <v/>
      </c>
      <c r="C177" s="14">
        <f>IF('Product Data'!A177="","",'Product Data'!C177)</f>
        <v/>
      </c>
      <c r="D177" s="14">
        <f>IF('Product Data'!A177="","",'Product Data'!D177)</f>
        <v/>
      </c>
      <c r="E177" s="14">
        <f>IF('Product Data'!A177="","",'Product Data'!E177)</f>
        <v/>
      </c>
      <c r="F177" s="14">
        <f>IF('Product Data'!A177="","",'Product Data'!F177)</f>
        <v/>
      </c>
      <c r="G177" s="9">
        <f>IF('Product Data'!A177="","",C177*D177*E177)</f>
        <v/>
      </c>
      <c r="H177" s="13">
        <f>IF('Product Data'!A177="","",AND($C177&lt;='Box Library'!$C$4,$D177&lt;='Box Library'!$D$4,$E177&lt;='Box Library'!$E$4,$F177&lt;='Box Library'!$F$4))</f>
        <v/>
      </c>
      <c r="I177" s="13">
        <f>IF('Product Data'!A177="","",AND($C177&lt;='Box Library'!$C$5,$D177&lt;='Box Library'!$D$5,$E177&lt;='Box Library'!$E$5,$F177&lt;='Box Library'!$F$5))</f>
        <v/>
      </c>
      <c r="J177" s="13">
        <f>IF('Product Data'!A177="","",AND($C177&lt;='Box Library'!$C$6,$D177&lt;='Box Library'!$D$6,$E177&lt;='Box Library'!$E$6,$F177&lt;='Box Library'!$F$6))</f>
        <v/>
      </c>
      <c r="K177" s="13">
        <f>IF('Product Data'!A177="","",AND($C177&lt;='Box Library'!$C$7,$D177&lt;='Box Library'!$D$7,$E177&lt;='Box Library'!$E$7,$F177&lt;='Box Library'!$F$7))</f>
        <v/>
      </c>
      <c r="L177" s="13">
        <f>IF('Product Data'!A177="","",AND($C177&lt;='Box Library'!$C$8,$D177&lt;='Box Library'!$D$8,$E177&lt;='Box Library'!$E$8,$F177&lt;='Box Library'!$F$8))</f>
        <v/>
      </c>
      <c r="M177" s="13">
        <f>IF('Product Data'!A177="","",IF(H177,'Box Library'!$A$4,IF(I177,'Box Library'!$A$5,IF(J177,'Box Library'!$A$6,IF(K177,'Box Library'!$A$7,IF(L177,'Box Library'!$A$8,"NO BOX FITS"))))))</f>
        <v/>
      </c>
      <c r="N177" s="15">
        <f>IF('Product Data'!A177="","",IF(H177,'Box Library'!$G$4,IF(I177,'Box Library'!$G$5,IF(J177,'Box Library'!$G$6,IF(K177,'Box Library'!$G$7,IF(L177,'Box Library'!$G$8,0))))))</f>
        <v/>
      </c>
      <c r="O177" s="16">
        <f>IF('Product Data'!A177="","",IF(M177="NO BOX FITS",0,G177/(IF(H177,'Box Library'!$H$4,IF(I177,'Box Library'!$H$5,IF(J177,'Box Library'!$H$6,IF(K177,'Box Library'!$H$7,'Box Library'!$H$8)))))))</f>
        <v/>
      </c>
      <c r="P177" s="6">
        <f>IF('Product Data'!A177="","",IF(M177="NO BOX FITS","REVIEW - NO STANDARD BOX FITS","OK"))</f>
        <v/>
      </c>
    </row>
    <row r="178">
      <c r="A178" s="13">
        <f>IF('Product Data'!A178="","",'Product Data'!A178)</f>
        <v/>
      </c>
      <c r="B178" s="13">
        <f>IF('Product Data'!A178="","",'Product Data'!B178)</f>
        <v/>
      </c>
      <c r="C178" s="14">
        <f>IF('Product Data'!A178="","",'Product Data'!C178)</f>
        <v/>
      </c>
      <c r="D178" s="14">
        <f>IF('Product Data'!A178="","",'Product Data'!D178)</f>
        <v/>
      </c>
      <c r="E178" s="14">
        <f>IF('Product Data'!A178="","",'Product Data'!E178)</f>
        <v/>
      </c>
      <c r="F178" s="14">
        <f>IF('Product Data'!A178="","",'Product Data'!F178)</f>
        <v/>
      </c>
      <c r="G178" s="9">
        <f>IF('Product Data'!A178="","",C178*D178*E178)</f>
        <v/>
      </c>
      <c r="H178" s="13">
        <f>IF('Product Data'!A178="","",AND($C178&lt;='Box Library'!$C$4,$D178&lt;='Box Library'!$D$4,$E178&lt;='Box Library'!$E$4,$F178&lt;='Box Library'!$F$4))</f>
        <v/>
      </c>
      <c r="I178" s="13">
        <f>IF('Product Data'!A178="","",AND($C178&lt;='Box Library'!$C$5,$D178&lt;='Box Library'!$D$5,$E178&lt;='Box Library'!$E$5,$F178&lt;='Box Library'!$F$5))</f>
        <v/>
      </c>
      <c r="J178" s="13">
        <f>IF('Product Data'!A178="","",AND($C178&lt;='Box Library'!$C$6,$D178&lt;='Box Library'!$D$6,$E178&lt;='Box Library'!$E$6,$F178&lt;='Box Library'!$F$6))</f>
        <v/>
      </c>
      <c r="K178" s="13">
        <f>IF('Product Data'!A178="","",AND($C178&lt;='Box Library'!$C$7,$D178&lt;='Box Library'!$D$7,$E178&lt;='Box Library'!$E$7,$F178&lt;='Box Library'!$F$7))</f>
        <v/>
      </c>
      <c r="L178" s="13">
        <f>IF('Product Data'!A178="","",AND($C178&lt;='Box Library'!$C$8,$D178&lt;='Box Library'!$D$8,$E178&lt;='Box Library'!$E$8,$F178&lt;='Box Library'!$F$8))</f>
        <v/>
      </c>
      <c r="M178" s="13">
        <f>IF('Product Data'!A178="","",IF(H178,'Box Library'!$A$4,IF(I178,'Box Library'!$A$5,IF(J178,'Box Library'!$A$6,IF(K178,'Box Library'!$A$7,IF(L178,'Box Library'!$A$8,"NO BOX FITS"))))))</f>
        <v/>
      </c>
      <c r="N178" s="15">
        <f>IF('Product Data'!A178="","",IF(H178,'Box Library'!$G$4,IF(I178,'Box Library'!$G$5,IF(J178,'Box Library'!$G$6,IF(K178,'Box Library'!$G$7,IF(L178,'Box Library'!$G$8,0))))))</f>
        <v/>
      </c>
      <c r="O178" s="16">
        <f>IF('Product Data'!A178="","",IF(M178="NO BOX FITS",0,G178/(IF(H178,'Box Library'!$H$4,IF(I178,'Box Library'!$H$5,IF(J178,'Box Library'!$H$6,IF(K178,'Box Library'!$H$7,'Box Library'!$H$8)))))))</f>
        <v/>
      </c>
      <c r="P178" s="6">
        <f>IF('Product Data'!A178="","",IF(M178="NO BOX FITS","REVIEW - NO STANDARD BOX FITS","OK"))</f>
        <v/>
      </c>
    </row>
    <row r="179">
      <c r="A179" s="13">
        <f>IF('Product Data'!A179="","",'Product Data'!A179)</f>
        <v/>
      </c>
      <c r="B179" s="13">
        <f>IF('Product Data'!A179="","",'Product Data'!B179)</f>
        <v/>
      </c>
      <c r="C179" s="14">
        <f>IF('Product Data'!A179="","",'Product Data'!C179)</f>
        <v/>
      </c>
      <c r="D179" s="14">
        <f>IF('Product Data'!A179="","",'Product Data'!D179)</f>
        <v/>
      </c>
      <c r="E179" s="14">
        <f>IF('Product Data'!A179="","",'Product Data'!E179)</f>
        <v/>
      </c>
      <c r="F179" s="14">
        <f>IF('Product Data'!A179="","",'Product Data'!F179)</f>
        <v/>
      </c>
      <c r="G179" s="9">
        <f>IF('Product Data'!A179="","",C179*D179*E179)</f>
        <v/>
      </c>
      <c r="H179" s="13">
        <f>IF('Product Data'!A179="","",AND($C179&lt;='Box Library'!$C$4,$D179&lt;='Box Library'!$D$4,$E179&lt;='Box Library'!$E$4,$F179&lt;='Box Library'!$F$4))</f>
        <v/>
      </c>
      <c r="I179" s="13">
        <f>IF('Product Data'!A179="","",AND($C179&lt;='Box Library'!$C$5,$D179&lt;='Box Library'!$D$5,$E179&lt;='Box Library'!$E$5,$F179&lt;='Box Library'!$F$5))</f>
        <v/>
      </c>
      <c r="J179" s="13">
        <f>IF('Product Data'!A179="","",AND($C179&lt;='Box Library'!$C$6,$D179&lt;='Box Library'!$D$6,$E179&lt;='Box Library'!$E$6,$F179&lt;='Box Library'!$F$6))</f>
        <v/>
      </c>
      <c r="K179" s="13">
        <f>IF('Product Data'!A179="","",AND($C179&lt;='Box Library'!$C$7,$D179&lt;='Box Library'!$D$7,$E179&lt;='Box Library'!$E$7,$F179&lt;='Box Library'!$F$7))</f>
        <v/>
      </c>
      <c r="L179" s="13">
        <f>IF('Product Data'!A179="","",AND($C179&lt;='Box Library'!$C$8,$D179&lt;='Box Library'!$D$8,$E179&lt;='Box Library'!$E$8,$F179&lt;='Box Library'!$F$8))</f>
        <v/>
      </c>
      <c r="M179" s="13">
        <f>IF('Product Data'!A179="","",IF(H179,'Box Library'!$A$4,IF(I179,'Box Library'!$A$5,IF(J179,'Box Library'!$A$6,IF(K179,'Box Library'!$A$7,IF(L179,'Box Library'!$A$8,"NO BOX FITS"))))))</f>
        <v/>
      </c>
      <c r="N179" s="15">
        <f>IF('Product Data'!A179="","",IF(H179,'Box Library'!$G$4,IF(I179,'Box Library'!$G$5,IF(J179,'Box Library'!$G$6,IF(K179,'Box Library'!$G$7,IF(L179,'Box Library'!$G$8,0))))))</f>
        <v/>
      </c>
      <c r="O179" s="16">
        <f>IF('Product Data'!A179="","",IF(M179="NO BOX FITS",0,G179/(IF(H179,'Box Library'!$H$4,IF(I179,'Box Library'!$H$5,IF(J179,'Box Library'!$H$6,IF(K179,'Box Library'!$H$7,'Box Library'!$H$8)))))))</f>
        <v/>
      </c>
      <c r="P179" s="6">
        <f>IF('Product Data'!A179="","",IF(M179="NO BOX FITS","REVIEW - NO STANDARD BOX FITS","OK"))</f>
        <v/>
      </c>
    </row>
    <row r="180">
      <c r="A180" s="13">
        <f>IF('Product Data'!A180="","",'Product Data'!A180)</f>
        <v/>
      </c>
      <c r="B180" s="13">
        <f>IF('Product Data'!A180="","",'Product Data'!B180)</f>
        <v/>
      </c>
      <c r="C180" s="14">
        <f>IF('Product Data'!A180="","",'Product Data'!C180)</f>
        <v/>
      </c>
      <c r="D180" s="14">
        <f>IF('Product Data'!A180="","",'Product Data'!D180)</f>
        <v/>
      </c>
      <c r="E180" s="14">
        <f>IF('Product Data'!A180="","",'Product Data'!E180)</f>
        <v/>
      </c>
      <c r="F180" s="14">
        <f>IF('Product Data'!A180="","",'Product Data'!F180)</f>
        <v/>
      </c>
      <c r="G180" s="9">
        <f>IF('Product Data'!A180="","",C180*D180*E180)</f>
        <v/>
      </c>
      <c r="H180" s="13">
        <f>IF('Product Data'!A180="","",AND($C180&lt;='Box Library'!$C$4,$D180&lt;='Box Library'!$D$4,$E180&lt;='Box Library'!$E$4,$F180&lt;='Box Library'!$F$4))</f>
        <v/>
      </c>
      <c r="I180" s="13">
        <f>IF('Product Data'!A180="","",AND($C180&lt;='Box Library'!$C$5,$D180&lt;='Box Library'!$D$5,$E180&lt;='Box Library'!$E$5,$F180&lt;='Box Library'!$F$5))</f>
        <v/>
      </c>
      <c r="J180" s="13">
        <f>IF('Product Data'!A180="","",AND($C180&lt;='Box Library'!$C$6,$D180&lt;='Box Library'!$D$6,$E180&lt;='Box Library'!$E$6,$F180&lt;='Box Library'!$F$6))</f>
        <v/>
      </c>
      <c r="K180" s="13">
        <f>IF('Product Data'!A180="","",AND($C180&lt;='Box Library'!$C$7,$D180&lt;='Box Library'!$D$7,$E180&lt;='Box Library'!$E$7,$F180&lt;='Box Library'!$F$7))</f>
        <v/>
      </c>
      <c r="L180" s="13">
        <f>IF('Product Data'!A180="","",AND($C180&lt;='Box Library'!$C$8,$D180&lt;='Box Library'!$D$8,$E180&lt;='Box Library'!$E$8,$F180&lt;='Box Library'!$F$8))</f>
        <v/>
      </c>
      <c r="M180" s="13">
        <f>IF('Product Data'!A180="","",IF(H180,'Box Library'!$A$4,IF(I180,'Box Library'!$A$5,IF(J180,'Box Library'!$A$6,IF(K180,'Box Library'!$A$7,IF(L180,'Box Library'!$A$8,"NO BOX FITS"))))))</f>
        <v/>
      </c>
      <c r="N180" s="15">
        <f>IF('Product Data'!A180="","",IF(H180,'Box Library'!$G$4,IF(I180,'Box Library'!$G$5,IF(J180,'Box Library'!$G$6,IF(K180,'Box Library'!$G$7,IF(L180,'Box Library'!$G$8,0))))))</f>
        <v/>
      </c>
      <c r="O180" s="16">
        <f>IF('Product Data'!A180="","",IF(M180="NO BOX FITS",0,G180/(IF(H180,'Box Library'!$H$4,IF(I180,'Box Library'!$H$5,IF(J180,'Box Library'!$H$6,IF(K180,'Box Library'!$H$7,'Box Library'!$H$8)))))))</f>
        <v/>
      </c>
      <c r="P180" s="6">
        <f>IF('Product Data'!A180="","",IF(M180="NO BOX FITS","REVIEW - NO STANDARD BOX FITS","OK"))</f>
        <v/>
      </c>
    </row>
    <row r="181">
      <c r="A181" s="13">
        <f>IF('Product Data'!A181="","",'Product Data'!A181)</f>
        <v/>
      </c>
      <c r="B181" s="13">
        <f>IF('Product Data'!A181="","",'Product Data'!B181)</f>
        <v/>
      </c>
      <c r="C181" s="14">
        <f>IF('Product Data'!A181="","",'Product Data'!C181)</f>
        <v/>
      </c>
      <c r="D181" s="14">
        <f>IF('Product Data'!A181="","",'Product Data'!D181)</f>
        <v/>
      </c>
      <c r="E181" s="14">
        <f>IF('Product Data'!A181="","",'Product Data'!E181)</f>
        <v/>
      </c>
      <c r="F181" s="14">
        <f>IF('Product Data'!A181="","",'Product Data'!F181)</f>
        <v/>
      </c>
      <c r="G181" s="9">
        <f>IF('Product Data'!A181="","",C181*D181*E181)</f>
        <v/>
      </c>
      <c r="H181" s="13">
        <f>IF('Product Data'!A181="","",AND($C181&lt;='Box Library'!$C$4,$D181&lt;='Box Library'!$D$4,$E181&lt;='Box Library'!$E$4,$F181&lt;='Box Library'!$F$4))</f>
        <v/>
      </c>
      <c r="I181" s="13">
        <f>IF('Product Data'!A181="","",AND($C181&lt;='Box Library'!$C$5,$D181&lt;='Box Library'!$D$5,$E181&lt;='Box Library'!$E$5,$F181&lt;='Box Library'!$F$5))</f>
        <v/>
      </c>
      <c r="J181" s="13">
        <f>IF('Product Data'!A181="","",AND($C181&lt;='Box Library'!$C$6,$D181&lt;='Box Library'!$D$6,$E181&lt;='Box Library'!$E$6,$F181&lt;='Box Library'!$F$6))</f>
        <v/>
      </c>
      <c r="K181" s="13">
        <f>IF('Product Data'!A181="","",AND($C181&lt;='Box Library'!$C$7,$D181&lt;='Box Library'!$D$7,$E181&lt;='Box Library'!$E$7,$F181&lt;='Box Library'!$F$7))</f>
        <v/>
      </c>
      <c r="L181" s="13">
        <f>IF('Product Data'!A181="","",AND($C181&lt;='Box Library'!$C$8,$D181&lt;='Box Library'!$D$8,$E181&lt;='Box Library'!$E$8,$F181&lt;='Box Library'!$F$8))</f>
        <v/>
      </c>
      <c r="M181" s="13">
        <f>IF('Product Data'!A181="","",IF(H181,'Box Library'!$A$4,IF(I181,'Box Library'!$A$5,IF(J181,'Box Library'!$A$6,IF(K181,'Box Library'!$A$7,IF(L181,'Box Library'!$A$8,"NO BOX FITS"))))))</f>
        <v/>
      </c>
      <c r="N181" s="15">
        <f>IF('Product Data'!A181="","",IF(H181,'Box Library'!$G$4,IF(I181,'Box Library'!$G$5,IF(J181,'Box Library'!$G$6,IF(K181,'Box Library'!$G$7,IF(L181,'Box Library'!$G$8,0))))))</f>
        <v/>
      </c>
      <c r="O181" s="16">
        <f>IF('Product Data'!A181="","",IF(M181="NO BOX FITS",0,G181/(IF(H181,'Box Library'!$H$4,IF(I181,'Box Library'!$H$5,IF(J181,'Box Library'!$H$6,IF(K181,'Box Library'!$H$7,'Box Library'!$H$8)))))))</f>
        <v/>
      </c>
      <c r="P181" s="6">
        <f>IF('Product Data'!A181="","",IF(M181="NO BOX FITS","REVIEW - NO STANDARD BOX FITS","OK"))</f>
        <v/>
      </c>
    </row>
    <row r="182">
      <c r="A182" s="13">
        <f>IF('Product Data'!A182="","",'Product Data'!A182)</f>
        <v/>
      </c>
      <c r="B182" s="13">
        <f>IF('Product Data'!A182="","",'Product Data'!B182)</f>
        <v/>
      </c>
      <c r="C182" s="14">
        <f>IF('Product Data'!A182="","",'Product Data'!C182)</f>
        <v/>
      </c>
      <c r="D182" s="14">
        <f>IF('Product Data'!A182="","",'Product Data'!D182)</f>
        <v/>
      </c>
      <c r="E182" s="14">
        <f>IF('Product Data'!A182="","",'Product Data'!E182)</f>
        <v/>
      </c>
      <c r="F182" s="14">
        <f>IF('Product Data'!A182="","",'Product Data'!F182)</f>
        <v/>
      </c>
      <c r="G182" s="9">
        <f>IF('Product Data'!A182="","",C182*D182*E182)</f>
        <v/>
      </c>
      <c r="H182" s="13">
        <f>IF('Product Data'!A182="","",AND($C182&lt;='Box Library'!$C$4,$D182&lt;='Box Library'!$D$4,$E182&lt;='Box Library'!$E$4,$F182&lt;='Box Library'!$F$4))</f>
        <v/>
      </c>
      <c r="I182" s="13">
        <f>IF('Product Data'!A182="","",AND($C182&lt;='Box Library'!$C$5,$D182&lt;='Box Library'!$D$5,$E182&lt;='Box Library'!$E$5,$F182&lt;='Box Library'!$F$5))</f>
        <v/>
      </c>
      <c r="J182" s="13">
        <f>IF('Product Data'!A182="","",AND($C182&lt;='Box Library'!$C$6,$D182&lt;='Box Library'!$D$6,$E182&lt;='Box Library'!$E$6,$F182&lt;='Box Library'!$F$6))</f>
        <v/>
      </c>
      <c r="K182" s="13">
        <f>IF('Product Data'!A182="","",AND($C182&lt;='Box Library'!$C$7,$D182&lt;='Box Library'!$D$7,$E182&lt;='Box Library'!$E$7,$F182&lt;='Box Library'!$F$7))</f>
        <v/>
      </c>
      <c r="L182" s="13">
        <f>IF('Product Data'!A182="","",AND($C182&lt;='Box Library'!$C$8,$D182&lt;='Box Library'!$D$8,$E182&lt;='Box Library'!$E$8,$F182&lt;='Box Library'!$F$8))</f>
        <v/>
      </c>
      <c r="M182" s="13">
        <f>IF('Product Data'!A182="","",IF(H182,'Box Library'!$A$4,IF(I182,'Box Library'!$A$5,IF(J182,'Box Library'!$A$6,IF(K182,'Box Library'!$A$7,IF(L182,'Box Library'!$A$8,"NO BOX FITS"))))))</f>
        <v/>
      </c>
      <c r="N182" s="15">
        <f>IF('Product Data'!A182="","",IF(H182,'Box Library'!$G$4,IF(I182,'Box Library'!$G$5,IF(J182,'Box Library'!$G$6,IF(K182,'Box Library'!$G$7,IF(L182,'Box Library'!$G$8,0))))))</f>
        <v/>
      </c>
      <c r="O182" s="16">
        <f>IF('Product Data'!A182="","",IF(M182="NO BOX FITS",0,G182/(IF(H182,'Box Library'!$H$4,IF(I182,'Box Library'!$H$5,IF(J182,'Box Library'!$H$6,IF(K182,'Box Library'!$H$7,'Box Library'!$H$8)))))))</f>
        <v/>
      </c>
      <c r="P182" s="6">
        <f>IF('Product Data'!A182="","",IF(M182="NO BOX FITS","REVIEW - NO STANDARD BOX FITS","OK"))</f>
        <v/>
      </c>
    </row>
    <row r="183">
      <c r="A183" s="13">
        <f>IF('Product Data'!A183="","",'Product Data'!A183)</f>
        <v/>
      </c>
      <c r="B183" s="13">
        <f>IF('Product Data'!A183="","",'Product Data'!B183)</f>
        <v/>
      </c>
      <c r="C183" s="14">
        <f>IF('Product Data'!A183="","",'Product Data'!C183)</f>
        <v/>
      </c>
      <c r="D183" s="14">
        <f>IF('Product Data'!A183="","",'Product Data'!D183)</f>
        <v/>
      </c>
      <c r="E183" s="14">
        <f>IF('Product Data'!A183="","",'Product Data'!E183)</f>
        <v/>
      </c>
      <c r="F183" s="14">
        <f>IF('Product Data'!A183="","",'Product Data'!F183)</f>
        <v/>
      </c>
      <c r="G183" s="9">
        <f>IF('Product Data'!A183="","",C183*D183*E183)</f>
        <v/>
      </c>
      <c r="H183" s="13">
        <f>IF('Product Data'!A183="","",AND($C183&lt;='Box Library'!$C$4,$D183&lt;='Box Library'!$D$4,$E183&lt;='Box Library'!$E$4,$F183&lt;='Box Library'!$F$4))</f>
        <v/>
      </c>
      <c r="I183" s="13">
        <f>IF('Product Data'!A183="","",AND($C183&lt;='Box Library'!$C$5,$D183&lt;='Box Library'!$D$5,$E183&lt;='Box Library'!$E$5,$F183&lt;='Box Library'!$F$5))</f>
        <v/>
      </c>
      <c r="J183" s="13">
        <f>IF('Product Data'!A183="","",AND($C183&lt;='Box Library'!$C$6,$D183&lt;='Box Library'!$D$6,$E183&lt;='Box Library'!$E$6,$F183&lt;='Box Library'!$F$6))</f>
        <v/>
      </c>
      <c r="K183" s="13">
        <f>IF('Product Data'!A183="","",AND($C183&lt;='Box Library'!$C$7,$D183&lt;='Box Library'!$D$7,$E183&lt;='Box Library'!$E$7,$F183&lt;='Box Library'!$F$7))</f>
        <v/>
      </c>
      <c r="L183" s="13">
        <f>IF('Product Data'!A183="","",AND($C183&lt;='Box Library'!$C$8,$D183&lt;='Box Library'!$D$8,$E183&lt;='Box Library'!$E$8,$F183&lt;='Box Library'!$F$8))</f>
        <v/>
      </c>
      <c r="M183" s="13">
        <f>IF('Product Data'!A183="","",IF(H183,'Box Library'!$A$4,IF(I183,'Box Library'!$A$5,IF(J183,'Box Library'!$A$6,IF(K183,'Box Library'!$A$7,IF(L183,'Box Library'!$A$8,"NO BOX FITS"))))))</f>
        <v/>
      </c>
      <c r="N183" s="15">
        <f>IF('Product Data'!A183="","",IF(H183,'Box Library'!$G$4,IF(I183,'Box Library'!$G$5,IF(J183,'Box Library'!$G$6,IF(K183,'Box Library'!$G$7,IF(L183,'Box Library'!$G$8,0))))))</f>
        <v/>
      </c>
      <c r="O183" s="16">
        <f>IF('Product Data'!A183="","",IF(M183="NO BOX FITS",0,G183/(IF(H183,'Box Library'!$H$4,IF(I183,'Box Library'!$H$5,IF(J183,'Box Library'!$H$6,IF(K183,'Box Library'!$H$7,'Box Library'!$H$8)))))))</f>
        <v/>
      </c>
      <c r="P183" s="6">
        <f>IF('Product Data'!A183="","",IF(M183="NO BOX FITS","REVIEW - NO STANDARD BOX FITS","OK"))</f>
        <v/>
      </c>
    </row>
    <row r="184">
      <c r="A184" s="13">
        <f>IF('Product Data'!A184="","",'Product Data'!A184)</f>
        <v/>
      </c>
      <c r="B184" s="13">
        <f>IF('Product Data'!A184="","",'Product Data'!B184)</f>
        <v/>
      </c>
      <c r="C184" s="14">
        <f>IF('Product Data'!A184="","",'Product Data'!C184)</f>
        <v/>
      </c>
      <c r="D184" s="14">
        <f>IF('Product Data'!A184="","",'Product Data'!D184)</f>
        <v/>
      </c>
      <c r="E184" s="14">
        <f>IF('Product Data'!A184="","",'Product Data'!E184)</f>
        <v/>
      </c>
      <c r="F184" s="14">
        <f>IF('Product Data'!A184="","",'Product Data'!F184)</f>
        <v/>
      </c>
      <c r="G184" s="9">
        <f>IF('Product Data'!A184="","",C184*D184*E184)</f>
        <v/>
      </c>
      <c r="H184" s="13">
        <f>IF('Product Data'!A184="","",AND($C184&lt;='Box Library'!$C$4,$D184&lt;='Box Library'!$D$4,$E184&lt;='Box Library'!$E$4,$F184&lt;='Box Library'!$F$4))</f>
        <v/>
      </c>
      <c r="I184" s="13">
        <f>IF('Product Data'!A184="","",AND($C184&lt;='Box Library'!$C$5,$D184&lt;='Box Library'!$D$5,$E184&lt;='Box Library'!$E$5,$F184&lt;='Box Library'!$F$5))</f>
        <v/>
      </c>
      <c r="J184" s="13">
        <f>IF('Product Data'!A184="","",AND($C184&lt;='Box Library'!$C$6,$D184&lt;='Box Library'!$D$6,$E184&lt;='Box Library'!$E$6,$F184&lt;='Box Library'!$F$6))</f>
        <v/>
      </c>
      <c r="K184" s="13">
        <f>IF('Product Data'!A184="","",AND($C184&lt;='Box Library'!$C$7,$D184&lt;='Box Library'!$D$7,$E184&lt;='Box Library'!$E$7,$F184&lt;='Box Library'!$F$7))</f>
        <v/>
      </c>
      <c r="L184" s="13">
        <f>IF('Product Data'!A184="","",AND($C184&lt;='Box Library'!$C$8,$D184&lt;='Box Library'!$D$8,$E184&lt;='Box Library'!$E$8,$F184&lt;='Box Library'!$F$8))</f>
        <v/>
      </c>
      <c r="M184" s="13">
        <f>IF('Product Data'!A184="","",IF(H184,'Box Library'!$A$4,IF(I184,'Box Library'!$A$5,IF(J184,'Box Library'!$A$6,IF(K184,'Box Library'!$A$7,IF(L184,'Box Library'!$A$8,"NO BOX FITS"))))))</f>
        <v/>
      </c>
      <c r="N184" s="15">
        <f>IF('Product Data'!A184="","",IF(H184,'Box Library'!$G$4,IF(I184,'Box Library'!$G$5,IF(J184,'Box Library'!$G$6,IF(K184,'Box Library'!$G$7,IF(L184,'Box Library'!$G$8,0))))))</f>
        <v/>
      </c>
      <c r="O184" s="16">
        <f>IF('Product Data'!A184="","",IF(M184="NO BOX FITS",0,G184/(IF(H184,'Box Library'!$H$4,IF(I184,'Box Library'!$H$5,IF(J184,'Box Library'!$H$6,IF(K184,'Box Library'!$H$7,'Box Library'!$H$8)))))))</f>
        <v/>
      </c>
      <c r="P184" s="6">
        <f>IF('Product Data'!A184="","",IF(M184="NO BOX FITS","REVIEW - NO STANDARD BOX FITS","OK"))</f>
        <v/>
      </c>
    </row>
    <row r="185">
      <c r="A185" s="13">
        <f>IF('Product Data'!A185="","",'Product Data'!A185)</f>
        <v/>
      </c>
      <c r="B185" s="13">
        <f>IF('Product Data'!A185="","",'Product Data'!B185)</f>
        <v/>
      </c>
      <c r="C185" s="14">
        <f>IF('Product Data'!A185="","",'Product Data'!C185)</f>
        <v/>
      </c>
      <c r="D185" s="14">
        <f>IF('Product Data'!A185="","",'Product Data'!D185)</f>
        <v/>
      </c>
      <c r="E185" s="14">
        <f>IF('Product Data'!A185="","",'Product Data'!E185)</f>
        <v/>
      </c>
      <c r="F185" s="14">
        <f>IF('Product Data'!A185="","",'Product Data'!F185)</f>
        <v/>
      </c>
      <c r="G185" s="9">
        <f>IF('Product Data'!A185="","",C185*D185*E185)</f>
        <v/>
      </c>
      <c r="H185" s="13">
        <f>IF('Product Data'!A185="","",AND($C185&lt;='Box Library'!$C$4,$D185&lt;='Box Library'!$D$4,$E185&lt;='Box Library'!$E$4,$F185&lt;='Box Library'!$F$4))</f>
        <v/>
      </c>
      <c r="I185" s="13">
        <f>IF('Product Data'!A185="","",AND($C185&lt;='Box Library'!$C$5,$D185&lt;='Box Library'!$D$5,$E185&lt;='Box Library'!$E$5,$F185&lt;='Box Library'!$F$5))</f>
        <v/>
      </c>
      <c r="J185" s="13">
        <f>IF('Product Data'!A185="","",AND($C185&lt;='Box Library'!$C$6,$D185&lt;='Box Library'!$D$6,$E185&lt;='Box Library'!$E$6,$F185&lt;='Box Library'!$F$6))</f>
        <v/>
      </c>
      <c r="K185" s="13">
        <f>IF('Product Data'!A185="","",AND($C185&lt;='Box Library'!$C$7,$D185&lt;='Box Library'!$D$7,$E185&lt;='Box Library'!$E$7,$F185&lt;='Box Library'!$F$7))</f>
        <v/>
      </c>
      <c r="L185" s="13">
        <f>IF('Product Data'!A185="","",AND($C185&lt;='Box Library'!$C$8,$D185&lt;='Box Library'!$D$8,$E185&lt;='Box Library'!$E$8,$F185&lt;='Box Library'!$F$8))</f>
        <v/>
      </c>
      <c r="M185" s="13">
        <f>IF('Product Data'!A185="","",IF(H185,'Box Library'!$A$4,IF(I185,'Box Library'!$A$5,IF(J185,'Box Library'!$A$6,IF(K185,'Box Library'!$A$7,IF(L185,'Box Library'!$A$8,"NO BOX FITS"))))))</f>
        <v/>
      </c>
      <c r="N185" s="15">
        <f>IF('Product Data'!A185="","",IF(H185,'Box Library'!$G$4,IF(I185,'Box Library'!$G$5,IF(J185,'Box Library'!$G$6,IF(K185,'Box Library'!$G$7,IF(L185,'Box Library'!$G$8,0))))))</f>
        <v/>
      </c>
      <c r="O185" s="16">
        <f>IF('Product Data'!A185="","",IF(M185="NO BOX FITS",0,G185/(IF(H185,'Box Library'!$H$4,IF(I185,'Box Library'!$H$5,IF(J185,'Box Library'!$H$6,IF(K185,'Box Library'!$H$7,'Box Library'!$H$8)))))))</f>
        <v/>
      </c>
      <c r="P185" s="6">
        <f>IF('Product Data'!A185="","",IF(M185="NO BOX FITS","REVIEW - NO STANDARD BOX FITS","OK"))</f>
        <v/>
      </c>
    </row>
    <row r="186">
      <c r="A186" s="13">
        <f>IF('Product Data'!A186="","",'Product Data'!A186)</f>
        <v/>
      </c>
      <c r="B186" s="13">
        <f>IF('Product Data'!A186="","",'Product Data'!B186)</f>
        <v/>
      </c>
      <c r="C186" s="14">
        <f>IF('Product Data'!A186="","",'Product Data'!C186)</f>
        <v/>
      </c>
      <c r="D186" s="14">
        <f>IF('Product Data'!A186="","",'Product Data'!D186)</f>
        <v/>
      </c>
      <c r="E186" s="14">
        <f>IF('Product Data'!A186="","",'Product Data'!E186)</f>
        <v/>
      </c>
      <c r="F186" s="14">
        <f>IF('Product Data'!A186="","",'Product Data'!F186)</f>
        <v/>
      </c>
      <c r="G186" s="9">
        <f>IF('Product Data'!A186="","",C186*D186*E186)</f>
        <v/>
      </c>
      <c r="H186" s="13">
        <f>IF('Product Data'!A186="","",AND($C186&lt;='Box Library'!$C$4,$D186&lt;='Box Library'!$D$4,$E186&lt;='Box Library'!$E$4,$F186&lt;='Box Library'!$F$4))</f>
        <v/>
      </c>
      <c r="I186" s="13">
        <f>IF('Product Data'!A186="","",AND($C186&lt;='Box Library'!$C$5,$D186&lt;='Box Library'!$D$5,$E186&lt;='Box Library'!$E$5,$F186&lt;='Box Library'!$F$5))</f>
        <v/>
      </c>
      <c r="J186" s="13">
        <f>IF('Product Data'!A186="","",AND($C186&lt;='Box Library'!$C$6,$D186&lt;='Box Library'!$D$6,$E186&lt;='Box Library'!$E$6,$F186&lt;='Box Library'!$F$6))</f>
        <v/>
      </c>
      <c r="K186" s="13">
        <f>IF('Product Data'!A186="","",AND($C186&lt;='Box Library'!$C$7,$D186&lt;='Box Library'!$D$7,$E186&lt;='Box Library'!$E$7,$F186&lt;='Box Library'!$F$7))</f>
        <v/>
      </c>
      <c r="L186" s="13">
        <f>IF('Product Data'!A186="","",AND($C186&lt;='Box Library'!$C$8,$D186&lt;='Box Library'!$D$8,$E186&lt;='Box Library'!$E$8,$F186&lt;='Box Library'!$F$8))</f>
        <v/>
      </c>
      <c r="M186" s="13">
        <f>IF('Product Data'!A186="","",IF(H186,'Box Library'!$A$4,IF(I186,'Box Library'!$A$5,IF(J186,'Box Library'!$A$6,IF(K186,'Box Library'!$A$7,IF(L186,'Box Library'!$A$8,"NO BOX FITS"))))))</f>
        <v/>
      </c>
      <c r="N186" s="15">
        <f>IF('Product Data'!A186="","",IF(H186,'Box Library'!$G$4,IF(I186,'Box Library'!$G$5,IF(J186,'Box Library'!$G$6,IF(K186,'Box Library'!$G$7,IF(L186,'Box Library'!$G$8,0))))))</f>
        <v/>
      </c>
      <c r="O186" s="16">
        <f>IF('Product Data'!A186="","",IF(M186="NO BOX FITS",0,G186/(IF(H186,'Box Library'!$H$4,IF(I186,'Box Library'!$H$5,IF(J186,'Box Library'!$H$6,IF(K186,'Box Library'!$H$7,'Box Library'!$H$8)))))))</f>
        <v/>
      </c>
      <c r="P186" s="6">
        <f>IF('Product Data'!A186="","",IF(M186="NO BOX FITS","REVIEW - NO STANDARD BOX FITS","OK"))</f>
        <v/>
      </c>
    </row>
    <row r="187">
      <c r="A187" s="13">
        <f>IF('Product Data'!A187="","",'Product Data'!A187)</f>
        <v/>
      </c>
      <c r="B187" s="13">
        <f>IF('Product Data'!A187="","",'Product Data'!B187)</f>
        <v/>
      </c>
      <c r="C187" s="14">
        <f>IF('Product Data'!A187="","",'Product Data'!C187)</f>
        <v/>
      </c>
      <c r="D187" s="14">
        <f>IF('Product Data'!A187="","",'Product Data'!D187)</f>
        <v/>
      </c>
      <c r="E187" s="14">
        <f>IF('Product Data'!A187="","",'Product Data'!E187)</f>
        <v/>
      </c>
      <c r="F187" s="14">
        <f>IF('Product Data'!A187="","",'Product Data'!F187)</f>
        <v/>
      </c>
      <c r="G187" s="9">
        <f>IF('Product Data'!A187="","",C187*D187*E187)</f>
        <v/>
      </c>
      <c r="H187" s="13">
        <f>IF('Product Data'!A187="","",AND($C187&lt;='Box Library'!$C$4,$D187&lt;='Box Library'!$D$4,$E187&lt;='Box Library'!$E$4,$F187&lt;='Box Library'!$F$4))</f>
        <v/>
      </c>
      <c r="I187" s="13">
        <f>IF('Product Data'!A187="","",AND($C187&lt;='Box Library'!$C$5,$D187&lt;='Box Library'!$D$5,$E187&lt;='Box Library'!$E$5,$F187&lt;='Box Library'!$F$5))</f>
        <v/>
      </c>
      <c r="J187" s="13">
        <f>IF('Product Data'!A187="","",AND($C187&lt;='Box Library'!$C$6,$D187&lt;='Box Library'!$D$6,$E187&lt;='Box Library'!$E$6,$F187&lt;='Box Library'!$F$6))</f>
        <v/>
      </c>
      <c r="K187" s="13">
        <f>IF('Product Data'!A187="","",AND($C187&lt;='Box Library'!$C$7,$D187&lt;='Box Library'!$D$7,$E187&lt;='Box Library'!$E$7,$F187&lt;='Box Library'!$F$7))</f>
        <v/>
      </c>
      <c r="L187" s="13">
        <f>IF('Product Data'!A187="","",AND($C187&lt;='Box Library'!$C$8,$D187&lt;='Box Library'!$D$8,$E187&lt;='Box Library'!$E$8,$F187&lt;='Box Library'!$F$8))</f>
        <v/>
      </c>
      <c r="M187" s="13">
        <f>IF('Product Data'!A187="","",IF(H187,'Box Library'!$A$4,IF(I187,'Box Library'!$A$5,IF(J187,'Box Library'!$A$6,IF(K187,'Box Library'!$A$7,IF(L187,'Box Library'!$A$8,"NO BOX FITS"))))))</f>
        <v/>
      </c>
      <c r="N187" s="15">
        <f>IF('Product Data'!A187="","",IF(H187,'Box Library'!$G$4,IF(I187,'Box Library'!$G$5,IF(J187,'Box Library'!$G$6,IF(K187,'Box Library'!$G$7,IF(L187,'Box Library'!$G$8,0))))))</f>
        <v/>
      </c>
      <c r="O187" s="16">
        <f>IF('Product Data'!A187="","",IF(M187="NO BOX FITS",0,G187/(IF(H187,'Box Library'!$H$4,IF(I187,'Box Library'!$H$5,IF(J187,'Box Library'!$H$6,IF(K187,'Box Library'!$H$7,'Box Library'!$H$8)))))))</f>
        <v/>
      </c>
      <c r="P187" s="6">
        <f>IF('Product Data'!A187="","",IF(M187="NO BOX FITS","REVIEW - NO STANDARD BOX FITS","OK"))</f>
        <v/>
      </c>
    </row>
    <row r="188">
      <c r="A188" s="13">
        <f>IF('Product Data'!A188="","",'Product Data'!A188)</f>
        <v/>
      </c>
      <c r="B188" s="13">
        <f>IF('Product Data'!A188="","",'Product Data'!B188)</f>
        <v/>
      </c>
      <c r="C188" s="14">
        <f>IF('Product Data'!A188="","",'Product Data'!C188)</f>
        <v/>
      </c>
      <c r="D188" s="14">
        <f>IF('Product Data'!A188="","",'Product Data'!D188)</f>
        <v/>
      </c>
      <c r="E188" s="14">
        <f>IF('Product Data'!A188="","",'Product Data'!E188)</f>
        <v/>
      </c>
      <c r="F188" s="14">
        <f>IF('Product Data'!A188="","",'Product Data'!F188)</f>
        <v/>
      </c>
      <c r="G188" s="9">
        <f>IF('Product Data'!A188="","",C188*D188*E188)</f>
        <v/>
      </c>
      <c r="H188" s="13">
        <f>IF('Product Data'!A188="","",AND($C188&lt;='Box Library'!$C$4,$D188&lt;='Box Library'!$D$4,$E188&lt;='Box Library'!$E$4,$F188&lt;='Box Library'!$F$4))</f>
        <v/>
      </c>
      <c r="I188" s="13">
        <f>IF('Product Data'!A188="","",AND($C188&lt;='Box Library'!$C$5,$D188&lt;='Box Library'!$D$5,$E188&lt;='Box Library'!$E$5,$F188&lt;='Box Library'!$F$5))</f>
        <v/>
      </c>
      <c r="J188" s="13">
        <f>IF('Product Data'!A188="","",AND($C188&lt;='Box Library'!$C$6,$D188&lt;='Box Library'!$D$6,$E188&lt;='Box Library'!$E$6,$F188&lt;='Box Library'!$F$6))</f>
        <v/>
      </c>
      <c r="K188" s="13">
        <f>IF('Product Data'!A188="","",AND($C188&lt;='Box Library'!$C$7,$D188&lt;='Box Library'!$D$7,$E188&lt;='Box Library'!$E$7,$F188&lt;='Box Library'!$F$7))</f>
        <v/>
      </c>
      <c r="L188" s="13">
        <f>IF('Product Data'!A188="","",AND($C188&lt;='Box Library'!$C$8,$D188&lt;='Box Library'!$D$8,$E188&lt;='Box Library'!$E$8,$F188&lt;='Box Library'!$F$8))</f>
        <v/>
      </c>
      <c r="M188" s="13">
        <f>IF('Product Data'!A188="","",IF(H188,'Box Library'!$A$4,IF(I188,'Box Library'!$A$5,IF(J188,'Box Library'!$A$6,IF(K188,'Box Library'!$A$7,IF(L188,'Box Library'!$A$8,"NO BOX FITS"))))))</f>
        <v/>
      </c>
      <c r="N188" s="15">
        <f>IF('Product Data'!A188="","",IF(H188,'Box Library'!$G$4,IF(I188,'Box Library'!$G$5,IF(J188,'Box Library'!$G$6,IF(K188,'Box Library'!$G$7,IF(L188,'Box Library'!$G$8,0))))))</f>
        <v/>
      </c>
      <c r="O188" s="16">
        <f>IF('Product Data'!A188="","",IF(M188="NO BOX FITS",0,G188/(IF(H188,'Box Library'!$H$4,IF(I188,'Box Library'!$H$5,IF(J188,'Box Library'!$H$6,IF(K188,'Box Library'!$H$7,'Box Library'!$H$8)))))))</f>
        <v/>
      </c>
      <c r="P188" s="6">
        <f>IF('Product Data'!A188="","",IF(M188="NO BOX FITS","REVIEW - NO STANDARD BOX FITS","OK"))</f>
        <v/>
      </c>
    </row>
    <row r="189">
      <c r="A189" s="13">
        <f>IF('Product Data'!A189="","",'Product Data'!A189)</f>
        <v/>
      </c>
      <c r="B189" s="13">
        <f>IF('Product Data'!A189="","",'Product Data'!B189)</f>
        <v/>
      </c>
      <c r="C189" s="14">
        <f>IF('Product Data'!A189="","",'Product Data'!C189)</f>
        <v/>
      </c>
      <c r="D189" s="14">
        <f>IF('Product Data'!A189="","",'Product Data'!D189)</f>
        <v/>
      </c>
      <c r="E189" s="14">
        <f>IF('Product Data'!A189="","",'Product Data'!E189)</f>
        <v/>
      </c>
      <c r="F189" s="14">
        <f>IF('Product Data'!A189="","",'Product Data'!F189)</f>
        <v/>
      </c>
      <c r="G189" s="9">
        <f>IF('Product Data'!A189="","",C189*D189*E189)</f>
        <v/>
      </c>
      <c r="H189" s="13">
        <f>IF('Product Data'!A189="","",AND($C189&lt;='Box Library'!$C$4,$D189&lt;='Box Library'!$D$4,$E189&lt;='Box Library'!$E$4,$F189&lt;='Box Library'!$F$4))</f>
        <v/>
      </c>
      <c r="I189" s="13">
        <f>IF('Product Data'!A189="","",AND($C189&lt;='Box Library'!$C$5,$D189&lt;='Box Library'!$D$5,$E189&lt;='Box Library'!$E$5,$F189&lt;='Box Library'!$F$5))</f>
        <v/>
      </c>
      <c r="J189" s="13">
        <f>IF('Product Data'!A189="","",AND($C189&lt;='Box Library'!$C$6,$D189&lt;='Box Library'!$D$6,$E189&lt;='Box Library'!$E$6,$F189&lt;='Box Library'!$F$6))</f>
        <v/>
      </c>
      <c r="K189" s="13">
        <f>IF('Product Data'!A189="","",AND($C189&lt;='Box Library'!$C$7,$D189&lt;='Box Library'!$D$7,$E189&lt;='Box Library'!$E$7,$F189&lt;='Box Library'!$F$7))</f>
        <v/>
      </c>
      <c r="L189" s="13">
        <f>IF('Product Data'!A189="","",AND($C189&lt;='Box Library'!$C$8,$D189&lt;='Box Library'!$D$8,$E189&lt;='Box Library'!$E$8,$F189&lt;='Box Library'!$F$8))</f>
        <v/>
      </c>
      <c r="M189" s="13">
        <f>IF('Product Data'!A189="","",IF(H189,'Box Library'!$A$4,IF(I189,'Box Library'!$A$5,IF(J189,'Box Library'!$A$6,IF(K189,'Box Library'!$A$7,IF(L189,'Box Library'!$A$8,"NO BOX FITS"))))))</f>
        <v/>
      </c>
      <c r="N189" s="15">
        <f>IF('Product Data'!A189="","",IF(H189,'Box Library'!$G$4,IF(I189,'Box Library'!$G$5,IF(J189,'Box Library'!$G$6,IF(K189,'Box Library'!$G$7,IF(L189,'Box Library'!$G$8,0))))))</f>
        <v/>
      </c>
      <c r="O189" s="16">
        <f>IF('Product Data'!A189="","",IF(M189="NO BOX FITS",0,G189/(IF(H189,'Box Library'!$H$4,IF(I189,'Box Library'!$H$5,IF(J189,'Box Library'!$H$6,IF(K189,'Box Library'!$H$7,'Box Library'!$H$8)))))))</f>
        <v/>
      </c>
      <c r="P189" s="6">
        <f>IF('Product Data'!A189="","",IF(M189="NO BOX FITS","REVIEW - NO STANDARD BOX FITS","OK"))</f>
        <v/>
      </c>
    </row>
    <row r="190">
      <c r="A190" s="13">
        <f>IF('Product Data'!A190="","",'Product Data'!A190)</f>
        <v/>
      </c>
      <c r="B190" s="13">
        <f>IF('Product Data'!A190="","",'Product Data'!B190)</f>
        <v/>
      </c>
      <c r="C190" s="14">
        <f>IF('Product Data'!A190="","",'Product Data'!C190)</f>
        <v/>
      </c>
      <c r="D190" s="14">
        <f>IF('Product Data'!A190="","",'Product Data'!D190)</f>
        <v/>
      </c>
      <c r="E190" s="14">
        <f>IF('Product Data'!A190="","",'Product Data'!E190)</f>
        <v/>
      </c>
      <c r="F190" s="14">
        <f>IF('Product Data'!A190="","",'Product Data'!F190)</f>
        <v/>
      </c>
      <c r="G190" s="9">
        <f>IF('Product Data'!A190="","",C190*D190*E190)</f>
        <v/>
      </c>
      <c r="H190" s="13">
        <f>IF('Product Data'!A190="","",AND($C190&lt;='Box Library'!$C$4,$D190&lt;='Box Library'!$D$4,$E190&lt;='Box Library'!$E$4,$F190&lt;='Box Library'!$F$4))</f>
        <v/>
      </c>
      <c r="I190" s="13">
        <f>IF('Product Data'!A190="","",AND($C190&lt;='Box Library'!$C$5,$D190&lt;='Box Library'!$D$5,$E190&lt;='Box Library'!$E$5,$F190&lt;='Box Library'!$F$5))</f>
        <v/>
      </c>
      <c r="J190" s="13">
        <f>IF('Product Data'!A190="","",AND($C190&lt;='Box Library'!$C$6,$D190&lt;='Box Library'!$D$6,$E190&lt;='Box Library'!$E$6,$F190&lt;='Box Library'!$F$6))</f>
        <v/>
      </c>
      <c r="K190" s="13">
        <f>IF('Product Data'!A190="","",AND($C190&lt;='Box Library'!$C$7,$D190&lt;='Box Library'!$D$7,$E190&lt;='Box Library'!$E$7,$F190&lt;='Box Library'!$F$7))</f>
        <v/>
      </c>
      <c r="L190" s="13">
        <f>IF('Product Data'!A190="","",AND($C190&lt;='Box Library'!$C$8,$D190&lt;='Box Library'!$D$8,$E190&lt;='Box Library'!$E$8,$F190&lt;='Box Library'!$F$8))</f>
        <v/>
      </c>
      <c r="M190" s="13">
        <f>IF('Product Data'!A190="","",IF(H190,'Box Library'!$A$4,IF(I190,'Box Library'!$A$5,IF(J190,'Box Library'!$A$6,IF(K190,'Box Library'!$A$7,IF(L190,'Box Library'!$A$8,"NO BOX FITS"))))))</f>
        <v/>
      </c>
      <c r="N190" s="15">
        <f>IF('Product Data'!A190="","",IF(H190,'Box Library'!$G$4,IF(I190,'Box Library'!$G$5,IF(J190,'Box Library'!$G$6,IF(K190,'Box Library'!$G$7,IF(L190,'Box Library'!$G$8,0))))))</f>
        <v/>
      </c>
      <c r="O190" s="16">
        <f>IF('Product Data'!A190="","",IF(M190="NO BOX FITS",0,G190/(IF(H190,'Box Library'!$H$4,IF(I190,'Box Library'!$H$5,IF(J190,'Box Library'!$H$6,IF(K190,'Box Library'!$H$7,'Box Library'!$H$8)))))))</f>
        <v/>
      </c>
      <c r="P190" s="6">
        <f>IF('Product Data'!A190="","",IF(M190="NO BOX FITS","REVIEW - NO STANDARD BOX FITS","OK"))</f>
        <v/>
      </c>
    </row>
    <row r="191">
      <c r="A191" s="13">
        <f>IF('Product Data'!A191="","",'Product Data'!A191)</f>
        <v/>
      </c>
      <c r="B191" s="13">
        <f>IF('Product Data'!A191="","",'Product Data'!B191)</f>
        <v/>
      </c>
      <c r="C191" s="14">
        <f>IF('Product Data'!A191="","",'Product Data'!C191)</f>
        <v/>
      </c>
      <c r="D191" s="14">
        <f>IF('Product Data'!A191="","",'Product Data'!D191)</f>
        <v/>
      </c>
      <c r="E191" s="14">
        <f>IF('Product Data'!A191="","",'Product Data'!E191)</f>
        <v/>
      </c>
      <c r="F191" s="14">
        <f>IF('Product Data'!A191="","",'Product Data'!F191)</f>
        <v/>
      </c>
      <c r="G191" s="9">
        <f>IF('Product Data'!A191="","",C191*D191*E191)</f>
        <v/>
      </c>
      <c r="H191" s="13">
        <f>IF('Product Data'!A191="","",AND($C191&lt;='Box Library'!$C$4,$D191&lt;='Box Library'!$D$4,$E191&lt;='Box Library'!$E$4,$F191&lt;='Box Library'!$F$4))</f>
        <v/>
      </c>
      <c r="I191" s="13">
        <f>IF('Product Data'!A191="","",AND($C191&lt;='Box Library'!$C$5,$D191&lt;='Box Library'!$D$5,$E191&lt;='Box Library'!$E$5,$F191&lt;='Box Library'!$F$5))</f>
        <v/>
      </c>
      <c r="J191" s="13">
        <f>IF('Product Data'!A191="","",AND($C191&lt;='Box Library'!$C$6,$D191&lt;='Box Library'!$D$6,$E191&lt;='Box Library'!$E$6,$F191&lt;='Box Library'!$F$6))</f>
        <v/>
      </c>
      <c r="K191" s="13">
        <f>IF('Product Data'!A191="","",AND($C191&lt;='Box Library'!$C$7,$D191&lt;='Box Library'!$D$7,$E191&lt;='Box Library'!$E$7,$F191&lt;='Box Library'!$F$7))</f>
        <v/>
      </c>
      <c r="L191" s="13">
        <f>IF('Product Data'!A191="","",AND($C191&lt;='Box Library'!$C$8,$D191&lt;='Box Library'!$D$8,$E191&lt;='Box Library'!$E$8,$F191&lt;='Box Library'!$F$8))</f>
        <v/>
      </c>
      <c r="M191" s="13">
        <f>IF('Product Data'!A191="","",IF(H191,'Box Library'!$A$4,IF(I191,'Box Library'!$A$5,IF(J191,'Box Library'!$A$6,IF(K191,'Box Library'!$A$7,IF(L191,'Box Library'!$A$8,"NO BOX FITS"))))))</f>
        <v/>
      </c>
      <c r="N191" s="15">
        <f>IF('Product Data'!A191="","",IF(H191,'Box Library'!$G$4,IF(I191,'Box Library'!$G$5,IF(J191,'Box Library'!$G$6,IF(K191,'Box Library'!$G$7,IF(L191,'Box Library'!$G$8,0))))))</f>
        <v/>
      </c>
      <c r="O191" s="16">
        <f>IF('Product Data'!A191="","",IF(M191="NO BOX FITS",0,G191/(IF(H191,'Box Library'!$H$4,IF(I191,'Box Library'!$H$5,IF(J191,'Box Library'!$H$6,IF(K191,'Box Library'!$H$7,'Box Library'!$H$8)))))))</f>
        <v/>
      </c>
      <c r="P191" s="6">
        <f>IF('Product Data'!A191="","",IF(M191="NO BOX FITS","REVIEW - NO STANDARD BOX FITS","OK"))</f>
        <v/>
      </c>
    </row>
    <row r="192">
      <c r="A192" s="13">
        <f>IF('Product Data'!A192="","",'Product Data'!A192)</f>
        <v/>
      </c>
      <c r="B192" s="13">
        <f>IF('Product Data'!A192="","",'Product Data'!B192)</f>
        <v/>
      </c>
      <c r="C192" s="14">
        <f>IF('Product Data'!A192="","",'Product Data'!C192)</f>
        <v/>
      </c>
      <c r="D192" s="14">
        <f>IF('Product Data'!A192="","",'Product Data'!D192)</f>
        <v/>
      </c>
      <c r="E192" s="14">
        <f>IF('Product Data'!A192="","",'Product Data'!E192)</f>
        <v/>
      </c>
      <c r="F192" s="14">
        <f>IF('Product Data'!A192="","",'Product Data'!F192)</f>
        <v/>
      </c>
      <c r="G192" s="9">
        <f>IF('Product Data'!A192="","",C192*D192*E192)</f>
        <v/>
      </c>
      <c r="H192" s="13">
        <f>IF('Product Data'!A192="","",AND($C192&lt;='Box Library'!$C$4,$D192&lt;='Box Library'!$D$4,$E192&lt;='Box Library'!$E$4,$F192&lt;='Box Library'!$F$4))</f>
        <v/>
      </c>
      <c r="I192" s="13">
        <f>IF('Product Data'!A192="","",AND($C192&lt;='Box Library'!$C$5,$D192&lt;='Box Library'!$D$5,$E192&lt;='Box Library'!$E$5,$F192&lt;='Box Library'!$F$5))</f>
        <v/>
      </c>
      <c r="J192" s="13">
        <f>IF('Product Data'!A192="","",AND($C192&lt;='Box Library'!$C$6,$D192&lt;='Box Library'!$D$6,$E192&lt;='Box Library'!$E$6,$F192&lt;='Box Library'!$F$6))</f>
        <v/>
      </c>
      <c r="K192" s="13">
        <f>IF('Product Data'!A192="","",AND($C192&lt;='Box Library'!$C$7,$D192&lt;='Box Library'!$D$7,$E192&lt;='Box Library'!$E$7,$F192&lt;='Box Library'!$F$7))</f>
        <v/>
      </c>
      <c r="L192" s="13">
        <f>IF('Product Data'!A192="","",AND($C192&lt;='Box Library'!$C$8,$D192&lt;='Box Library'!$D$8,$E192&lt;='Box Library'!$E$8,$F192&lt;='Box Library'!$F$8))</f>
        <v/>
      </c>
      <c r="M192" s="13">
        <f>IF('Product Data'!A192="","",IF(H192,'Box Library'!$A$4,IF(I192,'Box Library'!$A$5,IF(J192,'Box Library'!$A$6,IF(K192,'Box Library'!$A$7,IF(L192,'Box Library'!$A$8,"NO BOX FITS"))))))</f>
        <v/>
      </c>
      <c r="N192" s="15">
        <f>IF('Product Data'!A192="","",IF(H192,'Box Library'!$G$4,IF(I192,'Box Library'!$G$5,IF(J192,'Box Library'!$G$6,IF(K192,'Box Library'!$G$7,IF(L192,'Box Library'!$G$8,0))))))</f>
        <v/>
      </c>
      <c r="O192" s="16">
        <f>IF('Product Data'!A192="","",IF(M192="NO BOX FITS",0,G192/(IF(H192,'Box Library'!$H$4,IF(I192,'Box Library'!$H$5,IF(J192,'Box Library'!$H$6,IF(K192,'Box Library'!$H$7,'Box Library'!$H$8)))))))</f>
        <v/>
      </c>
      <c r="P192" s="6">
        <f>IF('Product Data'!A192="","",IF(M192="NO BOX FITS","REVIEW - NO STANDARD BOX FITS","OK"))</f>
        <v/>
      </c>
    </row>
    <row r="193">
      <c r="A193" s="13">
        <f>IF('Product Data'!A193="","",'Product Data'!A193)</f>
        <v/>
      </c>
      <c r="B193" s="13">
        <f>IF('Product Data'!A193="","",'Product Data'!B193)</f>
        <v/>
      </c>
      <c r="C193" s="14">
        <f>IF('Product Data'!A193="","",'Product Data'!C193)</f>
        <v/>
      </c>
      <c r="D193" s="14">
        <f>IF('Product Data'!A193="","",'Product Data'!D193)</f>
        <v/>
      </c>
      <c r="E193" s="14">
        <f>IF('Product Data'!A193="","",'Product Data'!E193)</f>
        <v/>
      </c>
      <c r="F193" s="14">
        <f>IF('Product Data'!A193="","",'Product Data'!F193)</f>
        <v/>
      </c>
      <c r="G193" s="9">
        <f>IF('Product Data'!A193="","",C193*D193*E193)</f>
        <v/>
      </c>
      <c r="H193" s="13">
        <f>IF('Product Data'!A193="","",AND($C193&lt;='Box Library'!$C$4,$D193&lt;='Box Library'!$D$4,$E193&lt;='Box Library'!$E$4,$F193&lt;='Box Library'!$F$4))</f>
        <v/>
      </c>
      <c r="I193" s="13">
        <f>IF('Product Data'!A193="","",AND($C193&lt;='Box Library'!$C$5,$D193&lt;='Box Library'!$D$5,$E193&lt;='Box Library'!$E$5,$F193&lt;='Box Library'!$F$5))</f>
        <v/>
      </c>
      <c r="J193" s="13">
        <f>IF('Product Data'!A193="","",AND($C193&lt;='Box Library'!$C$6,$D193&lt;='Box Library'!$D$6,$E193&lt;='Box Library'!$E$6,$F193&lt;='Box Library'!$F$6))</f>
        <v/>
      </c>
      <c r="K193" s="13">
        <f>IF('Product Data'!A193="","",AND($C193&lt;='Box Library'!$C$7,$D193&lt;='Box Library'!$D$7,$E193&lt;='Box Library'!$E$7,$F193&lt;='Box Library'!$F$7))</f>
        <v/>
      </c>
      <c r="L193" s="13">
        <f>IF('Product Data'!A193="","",AND($C193&lt;='Box Library'!$C$8,$D193&lt;='Box Library'!$D$8,$E193&lt;='Box Library'!$E$8,$F193&lt;='Box Library'!$F$8))</f>
        <v/>
      </c>
      <c r="M193" s="13">
        <f>IF('Product Data'!A193="","",IF(H193,'Box Library'!$A$4,IF(I193,'Box Library'!$A$5,IF(J193,'Box Library'!$A$6,IF(K193,'Box Library'!$A$7,IF(L193,'Box Library'!$A$8,"NO BOX FITS"))))))</f>
        <v/>
      </c>
      <c r="N193" s="15">
        <f>IF('Product Data'!A193="","",IF(H193,'Box Library'!$G$4,IF(I193,'Box Library'!$G$5,IF(J193,'Box Library'!$G$6,IF(K193,'Box Library'!$G$7,IF(L193,'Box Library'!$G$8,0))))))</f>
        <v/>
      </c>
      <c r="O193" s="16">
        <f>IF('Product Data'!A193="","",IF(M193="NO BOX FITS",0,G193/(IF(H193,'Box Library'!$H$4,IF(I193,'Box Library'!$H$5,IF(J193,'Box Library'!$H$6,IF(K193,'Box Library'!$H$7,'Box Library'!$H$8)))))))</f>
        <v/>
      </c>
      <c r="P193" s="6">
        <f>IF('Product Data'!A193="","",IF(M193="NO BOX FITS","REVIEW - NO STANDARD BOX FITS","OK"))</f>
        <v/>
      </c>
    </row>
    <row r="194">
      <c r="A194" s="13">
        <f>IF('Product Data'!A194="","",'Product Data'!A194)</f>
        <v/>
      </c>
      <c r="B194" s="13">
        <f>IF('Product Data'!A194="","",'Product Data'!B194)</f>
        <v/>
      </c>
      <c r="C194" s="14">
        <f>IF('Product Data'!A194="","",'Product Data'!C194)</f>
        <v/>
      </c>
      <c r="D194" s="14">
        <f>IF('Product Data'!A194="","",'Product Data'!D194)</f>
        <v/>
      </c>
      <c r="E194" s="14">
        <f>IF('Product Data'!A194="","",'Product Data'!E194)</f>
        <v/>
      </c>
      <c r="F194" s="14">
        <f>IF('Product Data'!A194="","",'Product Data'!F194)</f>
        <v/>
      </c>
      <c r="G194" s="9">
        <f>IF('Product Data'!A194="","",C194*D194*E194)</f>
        <v/>
      </c>
      <c r="H194" s="13">
        <f>IF('Product Data'!A194="","",AND($C194&lt;='Box Library'!$C$4,$D194&lt;='Box Library'!$D$4,$E194&lt;='Box Library'!$E$4,$F194&lt;='Box Library'!$F$4))</f>
        <v/>
      </c>
      <c r="I194" s="13">
        <f>IF('Product Data'!A194="","",AND($C194&lt;='Box Library'!$C$5,$D194&lt;='Box Library'!$D$5,$E194&lt;='Box Library'!$E$5,$F194&lt;='Box Library'!$F$5))</f>
        <v/>
      </c>
      <c r="J194" s="13">
        <f>IF('Product Data'!A194="","",AND($C194&lt;='Box Library'!$C$6,$D194&lt;='Box Library'!$D$6,$E194&lt;='Box Library'!$E$6,$F194&lt;='Box Library'!$F$6))</f>
        <v/>
      </c>
      <c r="K194" s="13">
        <f>IF('Product Data'!A194="","",AND($C194&lt;='Box Library'!$C$7,$D194&lt;='Box Library'!$D$7,$E194&lt;='Box Library'!$E$7,$F194&lt;='Box Library'!$F$7))</f>
        <v/>
      </c>
      <c r="L194" s="13">
        <f>IF('Product Data'!A194="","",AND($C194&lt;='Box Library'!$C$8,$D194&lt;='Box Library'!$D$8,$E194&lt;='Box Library'!$E$8,$F194&lt;='Box Library'!$F$8))</f>
        <v/>
      </c>
      <c r="M194" s="13">
        <f>IF('Product Data'!A194="","",IF(H194,'Box Library'!$A$4,IF(I194,'Box Library'!$A$5,IF(J194,'Box Library'!$A$6,IF(K194,'Box Library'!$A$7,IF(L194,'Box Library'!$A$8,"NO BOX FITS"))))))</f>
        <v/>
      </c>
      <c r="N194" s="15">
        <f>IF('Product Data'!A194="","",IF(H194,'Box Library'!$G$4,IF(I194,'Box Library'!$G$5,IF(J194,'Box Library'!$G$6,IF(K194,'Box Library'!$G$7,IF(L194,'Box Library'!$G$8,0))))))</f>
        <v/>
      </c>
      <c r="O194" s="16">
        <f>IF('Product Data'!A194="","",IF(M194="NO BOX FITS",0,G194/(IF(H194,'Box Library'!$H$4,IF(I194,'Box Library'!$H$5,IF(J194,'Box Library'!$H$6,IF(K194,'Box Library'!$H$7,'Box Library'!$H$8)))))))</f>
        <v/>
      </c>
      <c r="P194" s="6">
        <f>IF('Product Data'!A194="","",IF(M194="NO BOX FITS","REVIEW - NO STANDARD BOX FITS","OK"))</f>
        <v/>
      </c>
    </row>
    <row r="195">
      <c r="A195" s="13">
        <f>IF('Product Data'!A195="","",'Product Data'!A195)</f>
        <v/>
      </c>
      <c r="B195" s="13">
        <f>IF('Product Data'!A195="","",'Product Data'!B195)</f>
        <v/>
      </c>
      <c r="C195" s="14">
        <f>IF('Product Data'!A195="","",'Product Data'!C195)</f>
        <v/>
      </c>
      <c r="D195" s="14">
        <f>IF('Product Data'!A195="","",'Product Data'!D195)</f>
        <v/>
      </c>
      <c r="E195" s="14">
        <f>IF('Product Data'!A195="","",'Product Data'!E195)</f>
        <v/>
      </c>
      <c r="F195" s="14">
        <f>IF('Product Data'!A195="","",'Product Data'!F195)</f>
        <v/>
      </c>
      <c r="G195" s="9">
        <f>IF('Product Data'!A195="","",C195*D195*E195)</f>
        <v/>
      </c>
      <c r="H195" s="13">
        <f>IF('Product Data'!A195="","",AND($C195&lt;='Box Library'!$C$4,$D195&lt;='Box Library'!$D$4,$E195&lt;='Box Library'!$E$4,$F195&lt;='Box Library'!$F$4))</f>
        <v/>
      </c>
      <c r="I195" s="13">
        <f>IF('Product Data'!A195="","",AND($C195&lt;='Box Library'!$C$5,$D195&lt;='Box Library'!$D$5,$E195&lt;='Box Library'!$E$5,$F195&lt;='Box Library'!$F$5))</f>
        <v/>
      </c>
      <c r="J195" s="13">
        <f>IF('Product Data'!A195="","",AND($C195&lt;='Box Library'!$C$6,$D195&lt;='Box Library'!$D$6,$E195&lt;='Box Library'!$E$6,$F195&lt;='Box Library'!$F$6))</f>
        <v/>
      </c>
      <c r="K195" s="13">
        <f>IF('Product Data'!A195="","",AND($C195&lt;='Box Library'!$C$7,$D195&lt;='Box Library'!$D$7,$E195&lt;='Box Library'!$E$7,$F195&lt;='Box Library'!$F$7))</f>
        <v/>
      </c>
      <c r="L195" s="13">
        <f>IF('Product Data'!A195="","",AND($C195&lt;='Box Library'!$C$8,$D195&lt;='Box Library'!$D$8,$E195&lt;='Box Library'!$E$8,$F195&lt;='Box Library'!$F$8))</f>
        <v/>
      </c>
      <c r="M195" s="13">
        <f>IF('Product Data'!A195="","",IF(H195,'Box Library'!$A$4,IF(I195,'Box Library'!$A$5,IF(J195,'Box Library'!$A$6,IF(K195,'Box Library'!$A$7,IF(L195,'Box Library'!$A$8,"NO BOX FITS"))))))</f>
        <v/>
      </c>
      <c r="N195" s="15">
        <f>IF('Product Data'!A195="","",IF(H195,'Box Library'!$G$4,IF(I195,'Box Library'!$G$5,IF(J195,'Box Library'!$G$6,IF(K195,'Box Library'!$G$7,IF(L195,'Box Library'!$G$8,0))))))</f>
        <v/>
      </c>
      <c r="O195" s="16">
        <f>IF('Product Data'!A195="","",IF(M195="NO BOX FITS",0,G195/(IF(H195,'Box Library'!$H$4,IF(I195,'Box Library'!$H$5,IF(J195,'Box Library'!$H$6,IF(K195,'Box Library'!$H$7,'Box Library'!$H$8)))))))</f>
        <v/>
      </c>
      <c r="P195" s="6">
        <f>IF('Product Data'!A195="","",IF(M195="NO BOX FITS","REVIEW - NO STANDARD BOX FITS","OK"))</f>
        <v/>
      </c>
    </row>
    <row r="196">
      <c r="A196" s="13">
        <f>IF('Product Data'!A196="","",'Product Data'!A196)</f>
        <v/>
      </c>
      <c r="B196" s="13">
        <f>IF('Product Data'!A196="","",'Product Data'!B196)</f>
        <v/>
      </c>
      <c r="C196" s="14">
        <f>IF('Product Data'!A196="","",'Product Data'!C196)</f>
        <v/>
      </c>
      <c r="D196" s="14">
        <f>IF('Product Data'!A196="","",'Product Data'!D196)</f>
        <v/>
      </c>
      <c r="E196" s="14">
        <f>IF('Product Data'!A196="","",'Product Data'!E196)</f>
        <v/>
      </c>
      <c r="F196" s="14">
        <f>IF('Product Data'!A196="","",'Product Data'!F196)</f>
        <v/>
      </c>
      <c r="G196" s="9">
        <f>IF('Product Data'!A196="","",C196*D196*E196)</f>
        <v/>
      </c>
      <c r="H196" s="13">
        <f>IF('Product Data'!A196="","",AND($C196&lt;='Box Library'!$C$4,$D196&lt;='Box Library'!$D$4,$E196&lt;='Box Library'!$E$4,$F196&lt;='Box Library'!$F$4))</f>
        <v/>
      </c>
      <c r="I196" s="13">
        <f>IF('Product Data'!A196="","",AND($C196&lt;='Box Library'!$C$5,$D196&lt;='Box Library'!$D$5,$E196&lt;='Box Library'!$E$5,$F196&lt;='Box Library'!$F$5))</f>
        <v/>
      </c>
      <c r="J196" s="13">
        <f>IF('Product Data'!A196="","",AND($C196&lt;='Box Library'!$C$6,$D196&lt;='Box Library'!$D$6,$E196&lt;='Box Library'!$E$6,$F196&lt;='Box Library'!$F$6))</f>
        <v/>
      </c>
      <c r="K196" s="13">
        <f>IF('Product Data'!A196="","",AND($C196&lt;='Box Library'!$C$7,$D196&lt;='Box Library'!$D$7,$E196&lt;='Box Library'!$E$7,$F196&lt;='Box Library'!$F$7))</f>
        <v/>
      </c>
      <c r="L196" s="13">
        <f>IF('Product Data'!A196="","",AND($C196&lt;='Box Library'!$C$8,$D196&lt;='Box Library'!$D$8,$E196&lt;='Box Library'!$E$8,$F196&lt;='Box Library'!$F$8))</f>
        <v/>
      </c>
      <c r="M196" s="13">
        <f>IF('Product Data'!A196="","",IF(H196,'Box Library'!$A$4,IF(I196,'Box Library'!$A$5,IF(J196,'Box Library'!$A$6,IF(K196,'Box Library'!$A$7,IF(L196,'Box Library'!$A$8,"NO BOX FITS"))))))</f>
        <v/>
      </c>
      <c r="N196" s="15">
        <f>IF('Product Data'!A196="","",IF(H196,'Box Library'!$G$4,IF(I196,'Box Library'!$G$5,IF(J196,'Box Library'!$G$6,IF(K196,'Box Library'!$G$7,IF(L196,'Box Library'!$G$8,0))))))</f>
        <v/>
      </c>
      <c r="O196" s="16">
        <f>IF('Product Data'!A196="","",IF(M196="NO BOX FITS",0,G196/(IF(H196,'Box Library'!$H$4,IF(I196,'Box Library'!$H$5,IF(J196,'Box Library'!$H$6,IF(K196,'Box Library'!$H$7,'Box Library'!$H$8)))))))</f>
        <v/>
      </c>
      <c r="P196" s="6">
        <f>IF('Product Data'!A196="","",IF(M196="NO BOX FITS","REVIEW - NO STANDARD BOX FITS","OK"))</f>
        <v/>
      </c>
    </row>
    <row r="197">
      <c r="A197" s="13">
        <f>IF('Product Data'!A197="","",'Product Data'!A197)</f>
        <v/>
      </c>
      <c r="B197" s="13">
        <f>IF('Product Data'!A197="","",'Product Data'!B197)</f>
        <v/>
      </c>
      <c r="C197" s="14">
        <f>IF('Product Data'!A197="","",'Product Data'!C197)</f>
        <v/>
      </c>
      <c r="D197" s="14">
        <f>IF('Product Data'!A197="","",'Product Data'!D197)</f>
        <v/>
      </c>
      <c r="E197" s="14">
        <f>IF('Product Data'!A197="","",'Product Data'!E197)</f>
        <v/>
      </c>
      <c r="F197" s="14">
        <f>IF('Product Data'!A197="","",'Product Data'!F197)</f>
        <v/>
      </c>
      <c r="G197" s="9">
        <f>IF('Product Data'!A197="","",C197*D197*E197)</f>
        <v/>
      </c>
      <c r="H197" s="13">
        <f>IF('Product Data'!A197="","",AND($C197&lt;='Box Library'!$C$4,$D197&lt;='Box Library'!$D$4,$E197&lt;='Box Library'!$E$4,$F197&lt;='Box Library'!$F$4))</f>
        <v/>
      </c>
      <c r="I197" s="13">
        <f>IF('Product Data'!A197="","",AND($C197&lt;='Box Library'!$C$5,$D197&lt;='Box Library'!$D$5,$E197&lt;='Box Library'!$E$5,$F197&lt;='Box Library'!$F$5))</f>
        <v/>
      </c>
      <c r="J197" s="13">
        <f>IF('Product Data'!A197="","",AND($C197&lt;='Box Library'!$C$6,$D197&lt;='Box Library'!$D$6,$E197&lt;='Box Library'!$E$6,$F197&lt;='Box Library'!$F$6))</f>
        <v/>
      </c>
      <c r="K197" s="13">
        <f>IF('Product Data'!A197="","",AND($C197&lt;='Box Library'!$C$7,$D197&lt;='Box Library'!$D$7,$E197&lt;='Box Library'!$E$7,$F197&lt;='Box Library'!$F$7))</f>
        <v/>
      </c>
      <c r="L197" s="13">
        <f>IF('Product Data'!A197="","",AND($C197&lt;='Box Library'!$C$8,$D197&lt;='Box Library'!$D$8,$E197&lt;='Box Library'!$E$8,$F197&lt;='Box Library'!$F$8))</f>
        <v/>
      </c>
      <c r="M197" s="13">
        <f>IF('Product Data'!A197="","",IF(H197,'Box Library'!$A$4,IF(I197,'Box Library'!$A$5,IF(J197,'Box Library'!$A$6,IF(K197,'Box Library'!$A$7,IF(L197,'Box Library'!$A$8,"NO BOX FITS"))))))</f>
        <v/>
      </c>
      <c r="N197" s="15">
        <f>IF('Product Data'!A197="","",IF(H197,'Box Library'!$G$4,IF(I197,'Box Library'!$G$5,IF(J197,'Box Library'!$G$6,IF(K197,'Box Library'!$G$7,IF(L197,'Box Library'!$G$8,0))))))</f>
        <v/>
      </c>
      <c r="O197" s="16">
        <f>IF('Product Data'!A197="","",IF(M197="NO BOX FITS",0,G197/(IF(H197,'Box Library'!$H$4,IF(I197,'Box Library'!$H$5,IF(J197,'Box Library'!$H$6,IF(K197,'Box Library'!$H$7,'Box Library'!$H$8)))))))</f>
        <v/>
      </c>
      <c r="P197" s="6">
        <f>IF('Product Data'!A197="","",IF(M197="NO BOX FITS","REVIEW - NO STANDARD BOX FITS","OK"))</f>
        <v/>
      </c>
    </row>
    <row r="198">
      <c r="A198" s="13">
        <f>IF('Product Data'!A198="","",'Product Data'!A198)</f>
        <v/>
      </c>
      <c r="B198" s="13">
        <f>IF('Product Data'!A198="","",'Product Data'!B198)</f>
        <v/>
      </c>
      <c r="C198" s="14">
        <f>IF('Product Data'!A198="","",'Product Data'!C198)</f>
        <v/>
      </c>
      <c r="D198" s="14">
        <f>IF('Product Data'!A198="","",'Product Data'!D198)</f>
        <v/>
      </c>
      <c r="E198" s="14">
        <f>IF('Product Data'!A198="","",'Product Data'!E198)</f>
        <v/>
      </c>
      <c r="F198" s="14">
        <f>IF('Product Data'!A198="","",'Product Data'!F198)</f>
        <v/>
      </c>
      <c r="G198" s="9">
        <f>IF('Product Data'!A198="","",C198*D198*E198)</f>
        <v/>
      </c>
      <c r="H198" s="13">
        <f>IF('Product Data'!A198="","",AND($C198&lt;='Box Library'!$C$4,$D198&lt;='Box Library'!$D$4,$E198&lt;='Box Library'!$E$4,$F198&lt;='Box Library'!$F$4))</f>
        <v/>
      </c>
      <c r="I198" s="13">
        <f>IF('Product Data'!A198="","",AND($C198&lt;='Box Library'!$C$5,$D198&lt;='Box Library'!$D$5,$E198&lt;='Box Library'!$E$5,$F198&lt;='Box Library'!$F$5))</f>
        <v/>
      </c>
      <c r="J198" s="13">
        <f>IF('Product Data'!A198="","",AND($C198&lt;='Box Library'!$C$6,$D198&lt;='Box Library'!$D$6,$E198&lt;='Box Library'!$E$6,$F198&lt;='Box Library'!$F$6))</f>
        <v/>
      </c>
      <c r="K198" s="13">
        <f>IF('Product Data'!A198="","",AND($C198&lt;='Box Library'!$C$7,$D198&lt;='Box Library'!$D$7,$E198&lt;='Box Library'!$E$7,$F198&lt;='Box Library'!$F$7))</f>
        <v/>
      </c>
      <c r="L198" s="13">
        <f>IF('Product Data'!A198="","",AND($C198&lt;='Box Library'!$C$8,$D198&lt;='Box Library'!$D$8,$E198&lt;='Box Library'!$E$8,$F198&lt;='Box Library'!$F$8))</f>
        <v/>
      </c>
      <c r="M198" s="13">
        <f>IF('Product Data'!A198="","",IF(H198,'Box Library'!$A$4,IF(I198,'Box Library'!$A$5,IF(J198,'Box Library'!$A$6,IF(K198,'Box Library'!$A$7,IF(L198,'Box Library'!$A$8,"NO BOX FITS"))))))</f>
        <v/>
      </c>
      <c r="N198" s="15">
        <f>IF('Product Data'!A198="","",IF(H198,'Box Library'!$G$4,IF(I198,'Box Library'!$G$5,IF(J198,'Box Library'!$G$6,IF(K198,'Box Library'!$G$7,IF(L198,'Box Library'!$G$8,0))))))</f>
        <v/>
      </c>
      <c r="O198" s="16">
        <f>IF('Product Data'!A198="","",IF(M198="NO BOX FITS",0,G198/(IF(H198,'Box Library'!$H$4,IF(I198,'Box Library'!$H$5,IF(J198,'Box Library'!$H$6,IF(K198,'Box Library'!$H$7,'Box Library'!$H$8)))))))</f>
        <v/>
      </c>
      <c r="P198" s="6">
        <f>IF('Product Data'!A198="","",IF(M198="NO BOX FITS","REVIEW - NO STANDARD BOX FITS","OK"))</f>
        <v/>
      </c>
    </row>
    <row r="199">
      <c r="A199" s="13">
        <f>IF('Product Data'!A199="","",'Product Data'!A199)</f>
        <v/>
      </c>
      <c r="B199" s="13">
        <f>IF('Product Data'!A199="","",'Product Data'!B199)</f>
        <v/>
      </c>
      <c r="C199" s="14">
        <f>IF('Product Data'!A199="","",'Product Data'!C199)</f>
        <v/>
      </c>
      <c r="D199" s="14">
        <f>IF('Product Data'!A199="","",'Product Data'!D199)</f>
        <v/>
      </c>
      <c r="E199" s="14">
        <f>IF('Product Data'!A199="","",'Product Data'!E199)</f>
        <v/>
      </c>
      <c r="F199" s="14">
        <f>IF('Product Data'!A199="","",'Product Data'!F199)</f>
        <v/>
      </c>
      <c r="G199" s="9">
        <f>IF('Product Data'!A199="","",C199*D199*E199)</f>
        <v/>
      </c>
      <c r="H199" s="13">
        <f>IF('Product Data'!A199="","",AND($C199&lt;='Box Library'!$C$4,$D199&lt;='Box Library'!$D$4,$E199&lt;='Box Library'!$E$4,$F199&lt;='Box Library'!$F$4))</f>
        <v/>
      </c>
      <c r="I199" s="13">
        <f>IF('Product Data'!A199="","",AND($C199&lt;='Box Library'!$C$5,$D199&lt;='Box Library'!$D$5,$E199&lt;='Box Library'!$E$5,$F199&lt;='Box Library'!$F$5))</f>
        <v/>
      </c>
      <c r="J199" s="13">
        <f>IF('Product Data'!A199="","",AND($C199&lt;='Box Library'!$C$6,$D199&lt;='Box Library'!$D$6,$E199&lt;='Box Library'!$E$6,$F199&lt;='Box Library'!$F$6))</f>
        <v/>
      </c>
      <c r="K199" s="13">
        <f>IF('Product Data'!A199="","",AND($C199&lt;='Box Library'!$C$7,$D199&lt;='Box Library'!$D$7,$E199&lt;='Box Library'!$E$7,$F199&lt;='Box Library'!$F$7))</f>
        <v/>
      </c>
      <c r="L199" s="13">
        <f>IF('Product Data'!A199="","",AND($C199&lt;='Box Library'!$C$8,$D199&lt;='Box Library'!$D$8,$E199&lt;='Box Library'!$E$8,$F199&lt;='Box Library'!$F$8))</f>
        <v/>
      </c>
      <c r="M199" s="13">
        <f>IF('Product Data'!A199="","",IF(H199,'Box Library'!$A$4,IF(I199,'Box Library'!$A$5,IF(J199,'Box Library'!$A$6,IF(K199,'Box Library'!$A$7,IF(L199,'Box Library'!$A$8,"NO BOX FITS"))))))</f>
        <v/>
      </c>
      <c r="N199" s="15">
        <f>IF('Product Data'!A199="","",IF(H199,'Box Library'!$G$4,IF(I199,'Box Library'!$G$5,IF(J199,'Box Library'!$G$6,IF(K199,'Box Library'!$G$7,IF(L199,'Box Library'!$G$8,0))))))</f>
        <v/>
      </c>
      <c r="O199" s="16">
        <f>IF('Product Data'!A199="","",IF(M199="NO BOX FITS",0,G199/(IF(H199,'Box Library'!$H$4,IF(I199,'Box Library'!$H$5,IF(J199,'Box Library'!$H$6,IF(K199,'Box Library'!$H$7,'Box Library'!$H$8)))))))</f>
        <v/>
      </c>
      <c r="P199" s="6">
        <f>IF('Product Data'!A199="","",IF(M199="NO BOX FITS","REVIEW - NO STANDARD BOX FITS","OK"))</f>
        <v/>
      </c>
    </row>
    <row r="200">
      <c r="A200" s="13">
        <f>IF('Product Data'!A200="","",'Product Data'!A200)</f>
        <v/>
      </c>
      <c r="B200" s="13">
        <f>IF('Product Data'!A200="","",'Product Data'!B200)</f>
        <v/>
      </c>
      <c r="C200" s="14">
        <f>IF('Product Data'!A200="","",'Product Data'!C200)</f>
        <v/>
      </c>
      <c r="D200" s="14">
        <f>IF('Product Data'!A200="","",'Product Data'!D200)</f>
        <v/>
      </c>
      <c r="E200" s="14">
        <f>IF('Product Data'!A200="","",'Product Data'!E200)</f>
        <v/>
      </c>
      <c r="F200" s="14">
        <f>IF('Product Data'!A200="","",'Product Data'!F200)</f>
        <v/>
      </c>
      <c r="G200" s="9">
        <f>IF('Product Data'!A200="","",C200*D200*E200)</f>
        <v/>
      </c>
      <c r="H200" s="13">
        <f>IF('Product Data'!A200="","",AND($C200&lt;='Box Library'!$C$4,$D200&lt;='Box Library'!$D$4,$E200&lt;='Box Library'!$E$4,$F200&lt;='Box Library'!$F$4))</f>
        <v/>
      </c>
      <c r="I200" s="13">
        <f>IF('Product Data'!A200="","",AND($C200&lt;='Box Library'!$C$5,$D200&lt;='Box Library'!$D$5,$E200&lt;='Box Library'!$E$5,$F200&lt;='Box Library'!$F$5))</f>
        <v/>
      </c>
      <c r="J200" s="13">
        <f>IF('Product Data'!A200="","",AND($C200&lt;='Box Library'!$C$6,$D200&lt;='Box Library'!$D$6,$E200&lt;='Box Library'!$E$6,$F200&lt;='Box Library'!$F$6))</f>
        <v/>
      </c>
      <c r="K200" s="13">
        <f>IF('Product Data'!A200="","",AND($C200&lt;='Box Library'!$C$7,$D200&lt;='Box Library'!$D$7,$E200&lt;='Box Library'!$E$7,$F200&lt;='Box Library'!$F$7))</f>
        <v/>
      </c>
      <c r="L200" s="13">
        <f>IF('Product Data'!A200="","",AND($C200&lt;='Box Library'!$C$8,$D200&lt;='Box Library'!$D$8,$E200&lt;='Box Library'!$E$8,$F200&lt;='Box Library'!$F$8))</f>
        <v/>
      </c>
      <c r="M200" s="13">
        <f>IF('Product Data'!A200="","",IF(H200,'Box Library'!$A$4,IF(I200,'Box Library'!$A$5,IF(J200,'Box Library'!$A$6,IF(K200,'Box Library'!$A$7,IF(L200,'Box Library'!$A$8,"NO BOX FITS"))))))</f>
        <v/>
      </c>
      <c r="N200" s="15">
        <f>IF('Product Data'!A200="","",IF(H200,'Box Library'!$G$4,IF(I200,'Box Library'!$G$5,IF(J200,'Box Library'!$G$6,IF(K200,'Box Library'!$G$7,IF(L200,'Box Library'!$G$8,0))))))</f>
        <v/>
      </c>
      <c r="O200" s="16">
        <f>IF('Product Data'!A200="","",IF(M200="NO BOX FITS",0,G200/(IF(H200,'Box Library'!$H$4,IF(I200,'Box Library'!$H$5,IF(J200,'Box Library'!$H$6,IF(K200,'Box Library'!$H$7,'Box Library'!$H$8)))))))</f>
        <v/>
      </c>
      <c r="P200" s="6">
        <f>IF('Product Data'!A200="","",IF(M200="NO BOX FITS","REVIEW - NO STANDARD BOX FITS","OK"))</f>
        <v/>
      </c>
    </row>
    <row r="201">
      <c r="A201" s="13">
        <f>IF('Product Data'!A201="","",'Product Data'!A201)</f>
        <v/>
      </c>
      <c r="B201" s="13">
        <f>IF('Product Data'!A201="","",'Product Data'!B201)</f>
        <v/>
      </c>
      <c r="C201" s="14">
        <f>IF('Product Data'!A201="","",'Product Data'!C201)</f>
        <v/>
      </c>
      <c r="D201" s="14">
        <f>IF('Product Data'!A201="","",'Product Data'!D201)</f>
        <v/>
      </c>
      <c r="E201" s="14">
        <f>IF('Product Data'!A201="","",'Product Data'!E201)</f>
        <v/>
      </c>
      <c r="F201" s="14">
        <f>IF('Product Data'!A201="","",'Product Data'!F201)</f>
        <v/>
      </c>
      <c r="G201" s="9">
        <f>IF('Product Data'!A201="","",C201*D201*E201)</f>
        <v/>
      </c>
      <c r="H201" s="13">
        <f>IF('Product Data'!A201="","",AND($C201&lt;='Box Library'!$C$4,$D201&lt;='Box Library'!$D$4,$E201&lt;='Box Library'!$E$4,$F201&lt;='Box Library'!$F$4))</f>
        <v/>
      </c>
      <c r="I201" s="13">
        <f>IF('Product Data'!A201="","",AND($C201&lt;='Box Library'!$C$5,$D201&lt;='Box Library'!$D$5,$E201&lt;='Box Library'!$E$5,$F201&lt;='Box Library'!$F$5))</f>
        <v/>
      </c>
      <c r="J201" s="13">
        <f>IF('Product Data'!A201="","",AND($C201&lt;='Box Library'!$C$6,$D201&lt;='Box Library'!$D$6,$E201&lt;='Box Library'!$E$6,$F201&lt;='Box Library'!$F$6))</f>
        <v/>
      </c>
      <c r="K201" s="13">
        <f>IF('Product Data'!A201="","",AND($C201&lt;='Box Library'!$C$7,$D201&lt;='Box Library'!$D$7,$E201&lt;='Box Library'!$E$7,$F201&lt;='Box Library'!$F$7))</f>
        <v/>
      </c>
      <c r="L201" s="13">
        <f>IF('Product Data'!A201="","",AND($C201&lt;='Box Library'!$C$8,$D201&lt;='Box Library'!$D$8,$E201&lt;='Box Library'!$E$8,$F201&lt;='Box Library'!$F$8))</f>
        <v/>
      </c>
      <c r="M201" s="13">
        <f>IF('Product Data'!A201="","",IF(H201,'Box Library'!$A$4,IF(I201,'Box Library'!$A$5,IF(J201,'Box Library'!$A$6,IF(K201,'Box Library'!$A$7,IF(L201,'Box Library'!$A$8,"NO BOX FITS"))))))</f>
        <v/>
      </c>
      <c r="N201" s="15">
        <f>IF('Product Data'!A201="","",IF(H201,'Box Library'!$G$4,IF(I201,'Box Library'!$G$5,IF(J201,'Box Library'!$G$6,IF(K201,'Box Library'!$G$7,IF(L201,'Box Library'!$G$8,0))))))</f>
        <v/>
      </c>
      <c r="O201" s="16">
        <f>IF('Product Data'!A201="","",IF(M201="NO BOX FITS",0,G201/(IF(H201,'Box Library'!$H$4,IF(I201,'Box Library'!$H$5,IF(J201,'Box Library'!$H$6,IF(K201,'Box Library'!$H$7,'Box Library'!$H$8)))))))</f>
        <v/>
      </c>
      <c r="P201" s="6">
        <f>IF('Product Data'!A201="","",IF(M201="NO BOX FITS","REVIEW - NO STANDARD BOX FITS","OK"))</f>
        <v/>
      </c>
    </row>
  </sheetData>
  <conditionalFormatting sqref="P2:P201">
    <cfRule type="cellIs" priority="1" operator="equal" dxfId="0">
      <formula>"OK"</formula>
    </cfRule>
    <cfRule type="cellIs" priority="2" operator="equal" dxfId="1">
      <formula>"REVIEW - NO STANDARD BOX FITS"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</cols>
  <sheetData>
    <row r="2">
      <c r="B2" s="1" t="inlineStr">
        <is>
          <t>Box-Fit Summary</t>
        </is>
      </c>
    </row>
    <row r="4">
      <c r="B4" s="2" t="inlineStr">
        <is>
          <t>Total Products Checked</t>
        </is>
      </c>
      <c r="D4" s="17">
        <f>SUMPRODUCT(--('Fit Checker'!A2:A201&lt;&gt;""))</f>
        <v/>
      </c>
    </row>
    <row r="5">
      <c r="B5" s="2" t="inlineStr">
        <is>
          <t>Products with No Fitting Box</t>
        </is>
      </c>
      <c r="D5" s="17">
        <f>COUNTIF('Fit Checker'!P2:P201,"REVIEW - NO STANDARD BOX FITS")</f>
        <v/>
      </c>
    </row>
    <row r="6">
      <c r="B6" s="2" t="inlineStr">
        <is>
          <t>Total Recommended Packaging Cost (Rs)</t>
        </is>
      </c>
      <c r="D6" s="18">
        <f>SUM('Fit Checker'!N2:N201)</f>
        <v/>
      </c>
    </row>
    <row r="7">
      <c r="B7" s="2" t="inlineStr">
        <is>
          <t>Average Space Utilization (%)</t>
        </is>
      </c>
      <c r="D7" s="19">
        <f>AVERAGEIF('Fit Checker'!P2:P201,"OK",'Fit Checker'!O2:O201)</f>
        <v/>
      </c>
    </row>
    <row r="9">
      <c r="B9" s="2" t="inlineStr">
        <is>
          <t>Box Usage Breakdown</t>
        </is>
      </c>
    </row>
    <row r="11">
      <c r="B11" s="5" t="inlineStr">
        <is>
          <t>Box Code</t>
        </is>
      </c>
      <c r="C11" s="5" t="inlineStr">
        <is>
          <t>Products Assigned</t>
        </is>
      </c>
    </row>
    <row r="12">
      <c r="B12" s="6" t="inlineStr">
        <is>
          <t>BX1</t>
        </is>
      </c>
      <c r="C12" s="6">
        <f>COUNTIF('Fit Checker'!$M$2:$M$201,B12)</f>
        <v/>
      </c>
    </row>
    <row r="13">
      <c r="B13" s="6" t="inlineStr">
        <is>
          <t>BX2</t>
        </is>
      </c>
      <c r="C13" s="6">
        <f>COUNTIF('Fit Checker'!$M$2:$M$201,B13)</f>
        <v/>
      </c>
    </row>
    <row r="14">
      <c r="B14" s="6" t="inlineStr">
        <is>
          <t>BX3</t>
        </is>
      </c>
      <c r="C14" s="6">
        <f>COUNTIF('Fit Checker'!$M$2:$M$201,B14)</f>
        <v/>
      </c>
    </row>
    <row r="15">
      <c r="B15" s="6" t="inlineStr">
        <is>
          <t>BX4</t>
        </is>
      </c>
      <c r="C15" s="6">
        <f>COUNTIF('Fit Checker'!$M$2:$M$201,B15)</f>
        <v/>
      </c>
    </row>
    <row r="16">
      <c r="B16" s="6" t="inlineStr">
        <is>
          <t>BX5</t>
        </is>
      </c>
      <c r="C16" s="6">
        <f>COUNTIF('Fit Checker'!$M$2:$M$201,B16)</f>
        <v/>
      </c>
    </row>
    <row r="17">
      <c r="B17" s="6" t="inlineStr">
        <is>
          <t>NO BOX FITS</t>
        </is>
      </c>
      <c r="C17" s="6">
        <f>COUNTIF('Fit Checker'!$M$2:$M$201,B17)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2026-07-06T12:33:06Z</dcterms:created>
  <dcterms:modified xmlns:dcterms="http://purl.org/dc/terms/" xmlns:xsi="http://www.w3.org/2001/XMLSchema-instance" xsi:type="dcterms:W3CDTF">2026-07-06T12:33:06Z</dcterms:modified>
</cp:coreProperties>
</file>