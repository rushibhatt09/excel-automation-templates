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x Library" sheetId="2" state="visible" r:id="rId2"/>
    <sheet xmlns:r="http://schemas.openxmlformats.org/officeDocument/2006/relationships" name="Product Data" sheetId="3" state="visible" r:id="rId3"/>
    <sheet xmlns:r="http://schemas.openxmlformats.org/officeDocument/2006/relationships" name="Fit Checker" sheetId="4" state="visible" r:id="rId4"/>
    <sheet xmlns:r="http://schemas.openxmlformats.org/officeDocument/2006/relationships"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s #,##0"/>
    <numFmt numFmtId="165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1F4E5F"/>
      <sz val="16"/>
    </font>
    <font>
      <name val="Arial"/>
      <b val="1"/>
    </font>
    <font>
      <name val="Arial"/>
      <sz val="11"/>
    </font>
    <font>
      <name val="Arial"/>
      <b val="1"/>
      <color rgb="001F4E5F"/>
      <sz val="12"/>
    </font>
    <font>
      <name val="Arial"/>
      <b val="1"/>
      <color rgb="00FFFFFF"/>
    </font>
    <font>
      <name val="Arial"/>
      <color rgb="00000000"/>
    </font>
    <font>
      <name val="Arial"/>
      <color rgb="000000FF"/>
    </font>
    <font>
      <name val="Arial"/>
      <i val="1"/>
      <color rgb="00666666"/>
      <sz val="9"/>
    </font>
    <font>
      <name val="Arial"/>
      <color rgb="00008000"/>
    </font>
  </fonts>
  <fills count="4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3" borderId="1" pivotButton="0" quotePrefix="0" xfId="0"/>
    <xf numFmtId="164" fontId="7" fillId="3" borderId="1" pivotButton="0" quotePrefix="0" xfId="0"/>
    <xf numFmtId="3" fontId="6" fillId="0" borderId="1" pivotButton="0" quotePrefix="0" xfId="0"/>
    <xf numFmtId="0" fontId="8" fillId="0" borderId="0" pivotButton="0" quotePrefix="0" xfId="0"/>
    <xf numFmtId="0" fontId="7" fillId="0" borderId="1" pivotButton="0" quotePrefix="0" xfId="0"/>
    <xf numFmtId="2" fontId="7" fillId="0" borderId="1" pivotButton="0" quotePrefix="0" xfId="0"/>
    <xf numFmtId="0" fontId="9" fillId="0" borderId="1" pivotButton="0" quotePrefix="0" xfId="0"/>
    <xf numFmtId="2" fontId="9" fillId="0" borderId="1" pivotButton="0" quotePrefix="0" xfId="0"/>
    <xf numFmtId="164" fontId="9" fillId="0" borderId="1" pivotButton="0" quotePrefix="0" xfId="0"/>
    <xf numFmtId="165" fontId="6" fillId="0" borderId="1" pivotButton="0" quotePrefix="0" xfId="0"/>
    <xf numFmtId="0" fontId="6" fillId="0" borderId="0" pivotButton="0" quotePrefix="0" xfId="0"/>
    <xf numFmtId="164" fontId="6" fillId="0" borderId="0" pivotButton="0" quotePrefix="0" xfId="0"/>
    <xf numFmtId="165" fontId="6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0B4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Volumetric Weight &amp; Box-Fit Checker</t>
        </is>
      </c>
    </row>
    <row r="4">
      <c r="B4" s="2" t="inlineStr">
        <is>
          <t>What this does</t>
        </is>
      </c>
    </row>
    <row r="5">
      <c r="B5" s="3" t="inlineStr">
        <is>
          <t>Checks every product against your standard box sizes and tells you the cheapest box it actually fits in - and flags products that don't fit any box you stock, so you're not overpaying for oversized packaging or discovering a bad fit at the packing table.</t>
        </is>
      </c>
    </row>
    <row r="6">
      <c r="B6" s="3" t="n"/>
    </row>
    <row r="7">
      <c r="B7" s="3" t="inlineStr">
        <is>
          <t>How to use it</t>
        </is>
      </c>
    </row>
    <row r="8">
      <c r="B8" s="3" t="inlineStr">
        <is>
          <t>1. Go to the 'Box Library' tab and replace the sample boxes with your own carton sizes and costs (cells shaded yellow).</t>
        </is>
      </c>
    </row>
    <row r="9">
      <c r="B9" s="3" t="inlineStr">
        <is>
          <t>2. Go to the 'Product Data' tab and paste your own product dimensions, replacing the sample rows.</t>
        </is>
      </c>
    </row>
    <row r="10">
      <c r="B10" s="3" t="inlineStr">
        <is>
          <t>3. IMPORTANT: for every product AND every box, enter Length as the longest side, Width as the middle side, and Height as the shortest side. This keeps the fit-check accurate regardless of which way the box is oriented.</t>
        </is>
      </c>
    </row>
    <row r="11">
      <c r="B11" s="3" t="inlineStr">
        <is>
          <t>4. Open the 'Fit Checker' tab - it shows the cheapest box each product fits in, or 'NO BOX FITS' if none do.</t>
        </is>
      </c>
    </row>
    <row r="12">
      <c r="B12" s="3" t="n"/>
    </row>
    <row r="13">
      <c r="B13" s="3" t="inlineStr">
        <is>
          <t>Notes</t>
        </is>
      </c>
    </row>
    <row r="14">
      <c r="B14" s="3" t="inlineStr">
        <is>
          <t>- All costs are in INR (Rs), all dimensions in cm, all weights in kg.</t>
        </is>
      </c>
    </row>
    <row r="15">
      <c r="B15" s="3" t="inlineStr">
        <is>
          <t>- The Box Library should be ordered from smallest/cheapest to largest/costliest - the checker recommends the first (cheapest) box a product fits in.</t>
        </is>
      </c>
    </row>
    <row r="16">
      <c r="B16" s="3" t="inlineStr">
        <is>
          <t>- This is a generic template with illustrative sample data - it is not tied to any specific brand or product line.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6" customWidth="1" min="4" max="4"/>
    <col width="16" customWidth="1" min="5" max="5"/>
    <col width="20" customWidth="1" min="6" max="6"/>
    <col width="16" customWidth="1" min="7" max="7"/>
    <col width="14" customWidth="1" min="8" max="8"/>
  </cols>
  <sheetData>
    <row r="1">
      <c r="A1" s="4" t="inlineStr">
        <is>
          <t>Box Library - SAMPLE VALUES, replace with your own carton sizes</t>
        </is>
      </c>
    </row>
    <row r="3">
      <c r="A3" s="5" t="inlineStr">
        <is>
          <t>Box Code</t>
        </is>
      </c>
      <c r="B3" s="5" t="inlineStr">
        <is>
          <t>Box Name</t>
        </is>
      </c>
      <c r="C3" s="5" t="inlineStr">
        <is>
          <t>Internal Length (cm)</t>
        </is>
      </c>
      <c r="D3" s="5" t="inlineStr">
        <is>
          <t>Internal Width (cm)</t>
        </is>
      </c>
      <c r="E3" s="5" t="inlineStr">
        <is>
          <t>Internal Height (cm)</t>
        </is>
      </c>
      <c r="F3" s="5" t="inlineStr">
        <is>
          <t>Max Weight Capacity (kg)</t>
        </is>
      </c>
      <c r="G3" s="5" t="inlineStr">
        <is>
          <t>Cost per Box (Rs)</t>
        </is>
      </c>
      <c r="H3" s="5" t="inlineStr">
        <is>
          <t>Volume (cm3)</t>
        </is>
      </c>
    </row>
    <row r="4">
      <c r="A4" s="6" t="inlineStr">
        <is>
          <t>BX1</t>
        </is>
      </c>
      <c r="B4" s="6" t="inlineStr">
        <is>
          <t>XS</t>
        </is>
      </c>
      <c r="C4" s="7" t="n">
        <v>15</v>
      </c>
      <c r="D4" s="7" t="n">
        <v>10</v>
      </c>
      <c r="E4" s="7" t="n">
        <v>8</v>
      </c>
      <c r="F4" s="7" t="n">
        <v>2</v>
      </c>
      <c r="G4" s="8" t="n">
        <v>6</v>
      </c>
      <c r="H4" s="9">
        <f>C4*D4*E4</f>
        <v/>
      </c>
    </row>
    <row r="5">
      <c r="A5" s="6" t="inlineStr">
        <is>
          <t>BX2</t>
        </is>
      </c>
      <c r="B5" s="6" t="inlineStr">
        <is>
          <t>S</t>
        </is>
      </c>
      <c r="C5" s="7" t="n">
        <v>20</v>
      </c>
      <c r="D5" s="7" t="n">
        <v>15</v>
      </c>
      <c r="E5" s="7" t="n">
        <v>10</v>
      </c>
      <c r="F5" s="7" t="n">
        <v>5</v>
      </c>
      <c r="G5" s="8" t="n">
        <v>8</v>
      </c>
      <c r="H5" s="9">
        <f>C5*D5*E5</f>
        <v/>
      </c>
    </row>
    <row r="6">
      <c r="A6" s="6" t="inlineStr">
        <is>
          <t>BX3</t>
        </is>
      </c>
      <c r="B6" s="6" t="inlineStr">
        <is>
          <t>M</t>
        </is>
      </c>
      <c r="C6" s="7" t="n">
        <v>25</v>
      </c>
      <c r="D6" s="7" t="n">
        <v>20</v>
      </c>
      <c r="E6" s="7" t="n">
        <v>15</v>
      </c>
      <c r="F6" s="7" t="n">
        <v>8</v>
      </c>
      <c r="G6" s="8" t="n">
        <v>11</v>
      </c>
      <c r="H6" s="9">
        <f>C6*D6*E6</f>
        <v/>
      </c>
    </row>
    <row r="7">
      <c r="A7" s="6" t="inlineStr">
        <is>
          <t>BX4</t>
        </is>
      </c>
      <c r="B7" s="6" t="inlineStr">
        <is>
          <t>L</t>
        </is>
      </c>
      <c r="C7" s="7" t="n">
        <v>35</v>
      </c>
      <c r="D7" s="7" t="n">
        <v>28</v>
      </c>
      <c r="E7" s="7" t="n">
        <v>18</v>
      </c>
      <c r="F7" s="7" t="n">
        <v>12</v>
      </c>
      <c r="G7" s="8" t="n">
        <v>15</v>
      </c>
      <c r="H7" s="9">
        <f>C7*D7*E7</f>
        <v/>
      </c>
    </row>
    <row r="8">
      <c r="A8" s="6" t="inlineStr">
        <is>
          <t>BX5</t>
        </is>
      </c>
      <c r="B8" s="6" t="inlineStr">
        <is>
          <t>XL</t>
        </is>
      </c>
      <c r="C8" s="7" t="n">
        <v>45</v>
      </c>
      <c r="D8" s="7" t="n">
        <v>35</v>
      </c>
      <c r="E8" s="7" t="n">
        <v>25</v>
      </c>
      <c r="F8" s="7" t="n">
        <v>20</v>
      </c>
      <c r="G8" s="8" t="n">
        <v>22</v>
      </c>
      <c r="H8" s="9">
        <f>C8*D8*E8</f>
        <v/>
      </c>
    </row>
    <row r="11">
      <c r="A11" s="10" t="inlineStr">
        <is>
          <t>Keep boxes ordered smallest/cheapest to largest/costliest - the Fit Checker recommends the first one that fits.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4" customWidth="1" min="3" max="3"/>
    <col width="12" customWidth="1" min="4" max="4"/>
    <col width="14" customWidth="1" min="5" max="5"/>
    <col width="12" customWidth="1" min="6" max="6"/>
  </cols>
  <sheetData>
    <row r="1">
      <c r="A1" s="5" t="inlineStr">
        <is>
          <t>SKU</t>
        </is>
      </c>
      <c r="B1" s="5" t="inlineStr">
        <is>
          <t>Product Name</t>
        </is>
      </c>
      <c r="C1" s="5" t="inlineStr">
        <is>
          <t>Length (cm)</t>
        </is>
      </c>
      <c r="D1" s="5" t="inlineStr">
        <is>
          <t>Width (cm)</t>
        </is>
      </c>
      <c r="E1" s="5" t="inlineStr">
        <is>
          <t>Height (cm)</t>
        </is>
      </c>
      <c r="F1" s="5" t="inlineStr">
        <is>
          <t>Weight (kg)</t>
        </is>
      </c>
    </row>
    <row r="2">
      <c r="A2" s="11" t="inlineStr">
        <is>
          <t>SKU-1001</t>
        </is>
      </c>
      <c r="B2" s="11" t="inlineStr">
        <is>
          <t>Face Serum 30ml</t>
        </is>
      </c>
      <c r="C2" s="12" t="n">
        <v>12</v>
      </c>
      <c r="D2" s="12" t="n">
        <v>8</v>
      </c>
      <c r="E2" s="12" t="n">
        <v>6</v>
      </c>
      <c r="F2" s="12" t="n">
        <v>0.15</v>
      </c>
    </row>
    <row r="3">
      <c r="A3" s="11" t="inlineStr">
        <is>
          <t>SKU-1002</t>
        </is>
      </c>
      <c r="B3" s="11" t="inlineStr">
        <is>
          <t>Sunscreen Combo Pack</t>
        </is>
      </c>
      <c r="C3" s="12" t="n">
        <v>18</v>
      </c>
      <c r="D3" s="12" t="n">
        <v>13</v>
      </c>
      <c r="E3" s="12" t="n">
        <v>9</v>
      </c>
      <c r="F3" s="12" t="n">
        <v>0.35</v>
      </c>
    </row>
    <row r="4">
      <c r="A4" s="11" t="inlineStr">
        <is>
          <t>SKU-1003</t>
        </is>
      </c>
      <c r="B4" s="11" t="inlineStr">
        <is>
          <t>Face Wash 100ml x2</t>
        </is>
      </c>
      <c r="C4" s="12" t="n">
        <v>16</v>
      </c>
      <c r="D4" s="12" t="n">
        <v>11</v>
      </c>
      <c r="E4" s="12" t="n">
        <v>7</v>
      </c>
      <c r="F4" s="12" t="n">
        <v>0.4</v>
      </c>
    </row>
    <row r="5">
      <c r="A5" s="11" t="inlineStr">
        <is>
          <t>SKU-1004</t>
        </is>
      </c>
      <c r="B5" s="11" t="inlineStr">
        <is>
          <t>Moisturizer Jar Large</t>
        </is>
      </c>
      <c r="C5" s="12" t="n">
        <v>22</v>
      </c>
      <c r="D5" s="12" t="n">
        <v>18</v>
      </c>
      <c r="E5" s="12" t="n">
        <v>12</v>
      </c>
      <c r="F5" s="12" t="n">
        <v>0.6</v>
      </c>
    </row>
    <row r="6">
      <c r="A6" s="11" t="inlineStr">
        <is>
          <t>SKU-1005</t>
        </is>
      </c>
      <c r="B6" s="11" t="inlineStr">
        <is>
          <t>Gift Hamper Small</t>
        </is>
      </c>
      <c r="C6" s="12" t="n">
        <v>24</v>
      </c>
      <c r="D6" s="12" t="n">
        <v>19</v>
      </c>
      <c r="E6" s="12" t="n">
        <v>14</v>
      </c>
      <c r="F6" s="12" t="n">
        <v>1.2</v>
      </c>
    </row>
    <row r="7">
      <c r="A7" s="11" t="inlineStr">
        <is>
          <t>SKU-1006</t>
        </is>
      </c>
      <c r="B7" s="11" t="inlineStr">
        <is>
          <t>Gift Hamper Large</t>
        </is>
      </c>
      <c r="C7" s="12" t="n">
        <v>33</v>
      </c>
      <c r="D7" s="12" t="n">
        <v>26</v>
      </c>
      <c r="E7" s="12" t="n">
        <v>16</v>
      </c>
      <c r="F7" s="12" t="n">
        <v>3.5</v>
      </c>
    </row>
    <row r="8">
      <c r="A8" s="11" t="inlineStr">
        <is>
          <t>SKU-1007</t>
        </is>
      </c>
      <c r="B8" s="11" t="inlineStr">
        <is>
          <t>Hair Dryer</t>
        </is>
      </c>
      <c r="C8" s="12" t="n">
        <v>30</v>
      </c>
      <c r="D8" s="12" t="n">
        <v>14</v>
      </c>
      <c r="E8" s="12" t="n">
        <v>10</v>
      </c>
      <c r="F8" s="12" t="n">
        <v>0.9</v>
      </c>
    </row>
    <row r="9">
      <c r="A9" s="11" t="inlineStr">
        <is>
          <t>SKU-1008</t>
        </is>
      </c>
      <c r="B9" s="11" t="inlineStr">
        <is>
          <t>Combo Kit 6-pc</t>
        </is>
      </c>
      <c r="C9" s="12" t="n">
        <v>34</v>
      </c>
      <c r="D9" s="12" t="n">
        <v>27</v>
      </c>
      <c r="E9" s="12" t="n">
        <v>17</v>
      </c>
      <c r="F9" s="12" t="n">
        <v>4.8</v>
      </c>
    </row>
    <row r="10">
      <c r="A10" s="11" t="inlineStr">
        <is>
          <t>SKU-1009</t>
        </is>
      </c>
      <c r="B10" s="11" t="inlineStr">
        <is>
          <t>Bulk Wholesale Carton</t>
        </is>
      </c>
      <c r="C10" s="12" t="n">
        <v>44</v>
      </c>
      <c r="D10" s="12" t="n">
        <v>34</v>
      </c>
      <c r="E10" s="12" t="n">
        <v>24</v>
      </c>
      <c r="F10" s="12" t="n">
        <v>9</v>
      </c>
    </row>
    <row r="11">
      <c r="A11" s="11" t="inlineStr">
        <is>
          <t>SKU-1010</t>
        </is>
      </c>
      <c r="B11" s="11" t="inlineStr">
        <is>
          <t>Oversized Appliance</t>
        </is>
      </c>
      <c r="C11" s="12" t="n">
        <v>60</v>
      </c>
      <c r="D11" s="12" t="n">
        <v>40</v>
      </c>
      <c r="E11" s="12" t="n">
        <v>30</v>
      </c>
      <c r="F11" s="12" t="n">
        <v>15</v>
      </c>
    </row>
    <row r="14">
      <c r="A14" s="10" t="inlineStr">
        <is>
          <t>Replace with your own product list. Enter Length = longest side, Width = middle side, Height = shortest side.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8" customWidth="1" min="15" max="15"/>
    <col width="26" customWidth="1" min="16" max="16"/>
  </cols>
  <sheetData>
    <row r="1">
      <c r="A1" s="5" t="inlineStr">
        <is>
          <t>SKU</t>
        </is>
      </c>
      <c r="B1" s="5" t="inlineStr">
        <is>
          <t>Product Name</t>
        </is>
      </c>
      <c r="C1" s="5" t="inlineStr">
        <is>
          <t>Length (cm)</t>
        </is>
      </c>
      <c r="D1" s="5" t="inlineStr">
        <is>
          <t>Width (cm)</t>
        </is>
      </c>
      <c r="E1" s="5" t="inlineStr">
        <is>
          <t>Height (cm)</t>
        </is>
      </c>
      <c r="F1" s="5" t="inlineStr">
        <is>
          <t>Weight (kg)</t>
        </is>
      </c>
      <c r="G1" s="5" t="inlineStr">
        <is>
          <t>Product Volume (cm3)</t>
        </is>
      </c>
      <c r="H1" s="5" t="inlineStr">
        <is>
          <t>Fits BX1 (XS)</t>
        </is>
      </c>
      <c r="I1" s="5" t="inlineStr">
        <is>
          <t>Fits BX2 (S)</t>
        </is>
      </c>
      <c r="J1" s="5" t="inlineStr">
        <is>
          <t>Fits BX3 (M)</t>
        </is>
      </c>
      <c r="K1" s="5" t="inlineStr">
        <is>
          <t>Fits BX4 (L)</t>
        </is>
      </c>
      <c r="L1" s="5" t="inlineStr">
        <is>
          <t>Fits BX5 (XL)</t>
        </is>
      </c>
      <c r="M1" s="5" t="inlineStr">
        <is>
          <t>Recommended Box</t>
        </is>
      </c>
      <c r="N1" s="5" t="inlineStr">
        <is>
          <t>Recommended Box Cost (Rs)</t>
        </is>
      </c>
      <c r="O1" s="5" t="inlineStr">
        <is>
          <t>Space Utilization (%)</t>
        </is>
      </c>
      <c r="P1" s="5" t="inlineStr">
        <is>
          <t>Status</t>
        </is>
      </c>
    </row>
    <row r="2">
      <c r="A2" s="13">
        <f>'Product Data'!A2</f>
        <v/>
      </c>
      <c r="B2" s="13">
        <f>'Product Data'!B2</f>
        <v/>
      </c>
      <c r="C2" s="14">
        <f>'Product Data'!C2</f>
        <v/>
      </c>
      <c r="D2" s="14">
        <f>'Product Data'!D2</f>
        <v/>
      </c>
      <c r="E2" s="14">
        <f>'Product Data'!E2</f>
        <v/>
      </c>
      <c r="F2" s="14">
        <f>'Product Data'!F2</f>
        <v/>
      </c>
      <c r="G2" s="9">
        <f>C2*D2*E2</f>
        <v/>
      </c>
      <c r="H2" s="13">
        <f>AND($C2&lt;='Box Library'!$C$4,$D2&lt;='Box Library'!$D$4,$E2&lt;='Box Library'!$E$4,$F2&lt;='Box Library'!$F$4)</f>
        <v/>
      </c>
      <c r="I2" s="13">
        <f>AND($C2&lt;='Box Library'!$C$5,$D2&lt;='Box Library'!$D$5,$E2&lt;='Box Library'!$E$5,$F2&lt;='Box Library'!$F$5)</f>
        <v/>
      </c>
      <c r="J2" s="13">
        <f>AND($C2&lt;='Box Library'!$C$6,$D2&lt;='Box Library'!$D$6,$E2&lt;='Box Library'!$E$6,$F2&lt;='Box Library'!$F$6)</f>
        <v/>
      </c>
      <c r="K2" s="13">
        <f>AND($C2&lt;='Box Library'!$C$7,$D2&lt;='Box Library'!$D$7,$E2&lt;='Box Library'!$E$7,$F2&lt;='Box Library'!$F$7)</f>
        <v/>
      </c>
      <c r="L2" s="13">
        <f>AND($C2&lt;='Box Library'!$C$8,$D2&lt;='Box Library'!$D$8,$E2&lt;='Box Library'!$E$8,$F2&lt;='Box Library'!$F$8)</f>
        <v/>
      </c>
      <c r="M2" s="13">
        <f>IF(H2,'Box Library'!$A$4,IF(I2,'Box Library'!$A$5,IF(J2,'Box Library'!$A$6,IF(K2,'Box Library'!$A$7,IF(L2,'Box Library'!$A$8,"NO BOX FITS")))))</f>
        <v/>
      </c>
      <c r="N2" s="15">
        <f>IF(H2,'Box Library'!$G$4,IF(I2,'Box Library'!$G$5,IF(J2,'Box Library'!$G$6,IF(K2,'Box Library'!$G$7,IF(L2,'Box Library'!$G$8,0)))))</f>
        <v/>
      </c>
      <c r="O2" s="16">
        <f>IF(M2="NO BOX FITS",0,G2/(IF(H2,'Box Library'!$H$4,IF(I2,'Box Library'!$H$5,IF(J2,'Box Library'!$H$6,IF(K2,'Box Library'!$H$7,'Box Library'!$H$8))))))</f>
        <v/>
      </c>
      <c r="P2" s="6">
        <f>IF(M2="NO BOX FITS","REVIEW - NO STANDARD BOX FITS","OK")</f>
        <v/>
      </c>
    </row>
    <row r="3">
      <c r="A3" s="13">
        <f>'Product Data'!A3</f>
        <v/>
      </c>
      <c r="B3" s="13">
        <f>'Product Data'!B3</f>
        <v/>
      </c>
      <c r="C3" s="14">
        <f>'Product Data'!C3</f>
        <v/>
      </c>
      <c r="D3" s="14">
        <f>'Product Data'!D3</f>
        <v/>
      </c>
      <c r="E3" s="14">
        <f>'Product Data'!E3</f>
        <v/>
      </c>
      <c r="F3" s="14">
        <f>'Product Data'!F3</f>
        <v/>
      </c>
      <c r="G3" s="9">
        <f>C3*D3*E3</f>
        <v/>
      </c>
      <c r="H3" s="13">
        <f>AND($C3&lt;='Box Library'!$C$4,$D3&lt;='Box Library'!$D$4,$E3&lt;='Box Library'!$E$4,$F3&lt;='Box Library'!$F$4)</f>
        <v/>
      </c>
      <c r="I3" s="13">
        <f>AND($C3&lt;='Box Library'!$C$5,$D3&lt;='Box Library'!$D$5,$E3&lt;='Box Library'!$E$5,$F3&lt;='Box Library'!$F$5)</f>
        <v/>
      </c>
      <c r="J3" s="13">
        <f>AND($C3&lt;='Box Library'!$C$6,$D3&lt;='Box Library'!$D$6,$E3&lt;='Box Library'!$E$6,$F3&lt;='Box Library'!$F$6)</f>
        <v/>
      </c>
      <c r="K3" s="13">
        <f>AND($C3&lt;='Box Library'!$C$7,$D3&lt;='Box Library'!$D$7,$E3&lt;='Box Library'!$E$7,$F3&lt;='Box Library'!$F$7)</f>
        <v/>
      </c>
      <c r="L3" s="13">
        <f>AND($C3&lt;='Box Library'!$C$8,$D3&lt;='Box Library'!$D$8,$E3&lt;='Box Library'!$E$8,$F3&lt;='Box Library'!$F$8)</f>
        <v/>
      </c>
      <c r="M3" s="13">
        <f>IF(H3,'Box Library'!$A$4,IF(I3,'Box Library'!$A$5,IF(J3,'Box Library'!$A$6,IF(K3,'Box Library'!$A$7,IF(L3,'Box Library'!$A$8,"NO BOX FITS")))))</f>
        <v/>
      </c>
      <c r="N3" s="15">
        <f>IF(H3,'Box Library'!$G$4,IF(I3,'Box Library'!$G$5,IF(J3,'Box Library'!$G$6,IF(K3,'Box Library'!$G$7,IF(L3,'Box Library'!$G$8,0)))))</f>
        <v/>
      </c>
      <c r="O3" s="16">
        <f>IF(M3="NO BOX FITS",0,G3/(IF(H3,'Box Library'!$H$4,IF(I3,'Box Library'!$H$5,IF(J3,'Box Library'!$H$6,IF(K3,'Box Library'!$H$7,'Box Library'!$H$8))))))</f>
        <v/>
      </c>
      <c r="P3" s="6">
        <f>IF(M3="NO BOX FITS","REVIEW - NO STANDARD BOX FITS","OK")</f>
        <v/>
      </c>
    </row>
    <row r="4">
      <c r="A4" s="13">
        <f>'Product Data'!A4</f>
        <v/>
      </c>
      <c r="B4" s="13">
        <f>'Product Data'!B4</f>
        <v/>
      </c>
      <c r="C4" s="14">
        <f>'Product Data'!C4</f>
        <v/>
      </c>
      <c r="D4" s="14">
        <f>'Product Data'!D4</f>
        <v/>
      </c>
      <c r="E4" s="14">
        <f>'Product Data'!E4</f>
        <v/>
      </c>
      <c r="F4" s="14">
        <f>'Product Data'!F4</f>
        <v/>
      </c>
      <c r="G4" s="9">
        <f>C4*D4*E4</f>
        <v/>
      </c>
      <c r="H4" s="13">
        <f>AND($C4&lt;='Box Library'!$C$4,$D4&lt;='Box Library'!$D$4,$E4&lt;='Box Library'!$E$4,$F4&lt;='Box Library'!$F$4)</f>
        <v/>
      </c>
      <c r="I4" s="13">
        <f>AND($C4&lt;='Box Library'!$C$5,$D4&lt;='Box Library'!$D$5,$E4&lt;='Box Library'!$E$5,$F4&lt;='Box Library'!$F$5)</f>
        <v/>
      </c>
      <c r="J4" s="13">
        <f>AND($C4&lt;='Box Library'!$C$6,$D4&lt;='Box Library'!$D$6,$E4&lt;='Box Library'!$E$6,$F4&lt;='Box Library'!$F$6)</f>
        <v/>
      </c>
      <c r="K4" s="13">
        <f>AND($C4&lt;='Box Library'!$C$7,$D4&lt;='Box Library'!$D$7,$E4&lt;='Box Library'!$E$7,$F4&lt;='Box Library'!$F$7)</f>
        <v/>
      </c>
      <c r="L4" s="13">
        <f>AND($C4&lt;='Box Library'!$C$8,$D4&lt;='Box Library'!$D$8,$E4&lt;='Box Library'!$E$8,$F4&lt;='Box Library'!$F$8)</f>
        <v/>
      </c>
      <c r="M4" s="13">
        <f>IF(H4,'Box Library'!$A$4,IF(I4,'Box Library'!$A$5,IF(J4,'Box Library'!$A$6,IF(K4,'Box Library'!$A$7,IF(L4,'Box Library'!$A$8,"NO BOX FITS")))))</f>
        <v/>
      </c>
      <c r="N4" s="15">
        <f>IF(H4,'Box Library'!$G$4,IF(I4,'Box Library'!$G$5,IF(J4,'Box Library'!$G$6,IF(K4,'Box Library'!$G$7,IF(L4,'Box Library'!$G$8,0)))))</f>
        <v/>
      </c>
      <c r="O4" s="16">
        <f>IF(M4="NO BOX FITS",0,G4/(IF(H4,'Box Library'!$H$4,IF(I4,'Box Library'!$H$5,IF(J4,'Box Library'!$H$6,IF(K4,'Box Library'!$H$7,'Box Library'!$H$8))))))</f>
        <v/>
      </c>
      <c r="P4" s="6">
        <f>IF(M4="NO BOX FITS","REVIEW - NO STANDARD BOX FITS","OK")</f>
        <v/>
      </c>
    </row>
    <row r="5">
      <c r="A5" s="13">
        <f>'Product Data'!A5</f>
        <v/>
      </c>
      <c r="B5" s="13">
        <f>'Product Data'!B5</f>
        <v/>
      </c>
      <c r="C5" s="14">
        <f>'Product Data'!C5</f>
        <v/>
      </c>
      <c r="D5" s="14">
        <f>'Product Data'!D5</f>
        <v/>
      </c>
      <c r="E5" s="14">
        <f>'Product Data'!E5</f>
        <v/>
      </c>
      <c r="F5" s="14">
        <f>'Product Data'!F5</f>
        <v/>
      </c>
      <c r="G5" s="9">
        <f>C5*D5*E5</f>
        <v/>
      </c>
      <c r="H5" s="13">
        <f>AND($C5&lt;='Box Library'!$C$4,$D5&lt;='Box Library'!$D$4,$E5&lt;='Box Library'!$E$4,$F5&lt;='Box Library'!$F$4)</f>
        <v/>
      </c>
      <c r="I5" s="13">
        <f>AND($C5&lt;='Box Library'!$C$5,$D5&lt;='Box Library'!$D$5,$E5&lt;='Box Library'!$E$5,$F5&lt;='Box Library'!$F$5)</f>
        <v/>
      </c>
      <c r="J5" s="13">
        <f>AND($C5&lt;='Box Library'!$C$6,$D5&lt;='Box Library'!$D$6,$E5&lt;='Box Library'!$E$6,$F5&lt;='Box Library'!$F$6)</f>
        <v/>
      </c>
      <c r="K5" s="13">
        <f>AND($C5&lt;='Box Library'!$C$7,$D5&lt;='Box Library'!$D$7,$E5&lt;='Box Library'!$E$7,$F5&lt;='Box Library'!$F$7)</f>
        <v/>
      </c>
      <c r="L5" s="13">
        <f>AND($C5&lt;='Box Library'!$C$8,$D5&lt;='Box Library'!$D$8,$E5&lt;='Box Library'!$E$8,$F5&lt;='Box Library'!$F$8)</f>
        <v/>
      </c>
      <c r="M5" s="13">
        <f>IF(H5,'Box Library'!$A$4,IF(I5,'Box Library'!$A$5,IF(J5,'Box Library'!$A$6,IF(K5,'Box Library'!$A$7,IF(L5,'Box Library'!$A$8,"NO BOX FITS")))))</f>
        <v/>
      </c>
      <c r="N5" s="15">
        <f>IF(H5,'Box Library'!$G$4,IF(I5,'Box Library'!$G$5,IF(J5,'Box Library'!$G$6,IF(K5,'Box Library'!$G$7,IF(L5,'Box Library'!$G$8,0)))))</f>
        <v/>
      </c>
      <c r="O5" s="16">
        <f>IF(M5="NO BOX FITS",0,G5/(IF(H5,'Box Library'!$H$4,IF(I5,'Box Library'!$H$5,IF(J5,'Box Library'!$H$6,IF(K5,'Box Library'!$H$7,'Box Library'!$H$8))))))</f>
        <v/>
      </c>
      <c r="P5" s="6">
        <f>IF(M5="NO BOX FITS","REVIEW - NO STANDARD BOX FITS","OK")</f>
        <v/>
      </c>
    </row>
    <row r="6">
      <c r="A6" s="13">
        <f>'Product Data'!A6</f>
        <v/>
      </c>
      <c r="B6" s="13">
        <f>'Product Data'!B6</f>
        <v/>
      </c>
      <c r="C6" s="14">
        <f>'Product Data'!C6</f>
        <v/>
      </c>
      <c r="D6" s="14">
        <f>'Product Data'!D6</f>
        <v/>
      </c>
      <c r="E6" s="14">
        <f>'Product Data'!E6</f>
        <v/>
      </c>
      <c r="F6" s="14">
        <f>'Product Data'!F6</f>
        <v/>
      </c>
      <c r="G6" s="9">
        <f>C6*D6*E6</f>
        <v/>
      </c>
      <c r="H6" s="13">
        <f>AND($C6&lt;='Box Library'!$C$4,$D6&lt;='Box Library'!$D$4,$E6&lt;='Box Library'!$E$4,$F6&lt;='Box Library'!$F$4)</f>
        <v/>
      </c>
      <c r="I6" s="13">
        <f>AND($C6&lt;='Box Library'!$C$5,$D6&lt;='Box Library'!$D$5,$E6&lt;='Box Library'!$E$5,$F6&lt;='Box Library'!$F$5)</f>
        <v/>
      </c>
      <c r="J6" s="13">
        <f>AND($C6&lt;='Box Library'!$C$6,$D6&lt;='Box Library'!$D$6,$E6&lt;='Box Library'!$E$6,$F6&lt;='Box Library'!$F$6)</f>
        <v/>
      </c>
      <c r="K6" s="13">
        <f>AND($C6&lt;='Box Library'!$C$7,$D6&lt;='Box Library'!$D$7,$E6&lt;='Box Library'!$E$7,$F6&lt;='Box Library'!$F$7)</f>
        <v/>
      </c>
      <c r="L6" s="13">
        <f>AND($C6&lt;='Box Library'!$C$8,$D6&lt;='Box Library'!$D$8,$E6&lt;='Box Library'!$E$8,$F6&lt;='Box Library'!$F$8)</f>
        <v/>
      </c>
      <c r="M6" s="13">
        <f>IF(H6,'Box Library'!$A$4,IF(I6,'Box Library'!$A$5,IF(J6,'Box Library'!$A$6,IF(K6,'Box Library'!$A$7,IF(L6,'Box Library'!$A$8,"NO BOX FITS")))))</f>
        <v/>
      </c>
      <c r="N6" s="15">
        <f>IF(H6,'Box Library'!$G$4,IF(I6,'Box Library'!$G$5,IF(J6,'Box Library'!$G$6,IF(K6,'Box Library'!$G$7,IF(L6,'Box Library'!$G$8,0)))))</f>
        <v/>
      </c>
      <c r="O6" s="16">
        <f>IF(M6="NO BOX FITS",0,G6/(IF(H6,'Box Library'!$H$4,IF(I6,'Box Library'!$H$5,IF(J6,'Box Library'!$H$6,IF(K6,'Box Library'!$H$7,'Box Library'!$H$8))))))</f>
        <v/>
      </c>
      <c r="P6" s="6">
        <f>IF(M6="NO BOX FITS","REVIEW - NO STANDARD BOX FITS","OK")</f>
        <v/>
      </c>
    </row>
    <row r="7">
      <c r="A7" s="13">
        <f>'Product Data'!A7</f>
        <v/>
      </c>
      <c r="B7" s="13">
        <f>'Product Data'!B7</f>
        <v/>
      </c>
      <c r="C7" s="14">
        <f>'Product Data'!C7</f>
        <v/>
      </c>
      <c r="D7" s="14">
        <f>'Product Data'!D7</f>
        <v/>
      </c>
      <c r="E7" s="14">
        <f>'Product Data'!E7</f>
        <v/>
      </c>
      <c r="F7" s="14">
        <f>'Product Data'!F7</f>
        <v/>
      </c>
      <c r="G7" s="9">
        <f>C7*D7*E7</f>
        <v/>
      </c>
      <c r="H7" s="13">
        <f>AND($C7&lt;='Box Library'!$C$4,$D7&lt;='Box Library'!$D$4,$E7&lt;='Box Library'!$E$4,$F7&lt;='Box Library'!$F$4)</f>
        <v/>
      </c>
      <c r="I7" s="13">
        <f>AND($C7&lt;='Box Library'!$C$5,$D7&lt;='Box Library'!$D$5,$E7&lt;='Box Library'!$E$5,$F7&lt;='Box Library'!$F$5)</f>
        <v/>
      </c>
      <c r="J7" s="13">
        <f>AND($C7&lt;='Box Library'!$C$6,$D7&lt;='Box Library'!$D$6,$E7&lt;='Box Library'!$E$6,$F7&lt;='Box Library'!$F$6)</f>
        <v/>
      </c>
      <c r="K7" s="13">
        <f>AND($C7&lt;='Box Library'!$C$7,$D7&lt;='Box Library'!$D$7,$E7&lt;='Box Library'!$E$7,$F7&lt;='Box Library'!$F$7)</f>
        <v/>
      </c>
      <c r="L7" s="13">
        <f>AND($C7&lt;='Box Library'!$C$8,$D7&lt;='Box Library'!$D$8,$E7&lt;='Box Library'!$E$8,$F7&lt;='Box Library'!$F$8)</f>
        <v/>
      </c>
      <c r="M7" s="13">
        <f>IF(H7,'Box Library'!$A$4,IF(I7,'Box Library'!$A$5,IF(J7,'Box Library'!$A$6,IF(K7,'Box Library'!$A$7,IF(L7,'Box Library'!$A$8,"NO BOX FITS")))))</f>
        <v/>
      </c>
      <c r="N7" s="15">
        <f>IF(H7,'Box Library'!$G$4,IF(I7,'Box Library'!$G$5,IF(J7,'Box Library'!$G$6,IF(K7,'Box Library'!$G$7,IF(L7,'Box Library'!$G$8,0)))))</f>
        <v/>
      </c>
      <c r="O7" s="16">
        <f>IF(M7="NO BOX FITS",0,G7/(IF(H7,'Box Library'!$H$4,IF(I7,'Box Library'!$H$5,IF(J7,'Box Library'!$H$6,IF(K7,'Box Library'!$H$7,'Box Library'!$H$8))))))</f>
        <v/>
      </c>
      <c r="P7" s="6">
        <f>IF(M7="NO BOX FITS","REVIEW - NO STANDARD BOX FITS","OK")</f>
        <v/>
      </c>
    </row>
    <row r="8">
      <c r="A8" s="13">
        <f>'Product Data'!A8</f>
        <v/>
      </c>
      <c r="B8" s="13">
        <f>'Product Data'!B8</f>
        <v/>
      </c>
      <c r="C8" s="14">
        <f>'Product Data'!C8</f>
        <v/>
      </c>
      <c r="D8" s="14">
        <f>'Product Data'!D8</f>
        <v/>
      </c>
      <c r="E8" s="14">
        <f>'Product Data'!E8</f>
        <v/>
      </c>
      <c r="F8" s="14">
        <f>'Product Data'!F8</f>
        <v/>
      </c>
      <c r="G8" s="9">
        <f>C8*D8*E8</f>
        <v/>
      </c>
      <c r="H8" s="13">
        <f>AND($C8&lt;='Box Library'!$C$4,$D8&lt;='Box Library'!$D$4,$E8&lt;='Box Library'!$E$4,$F8&lt;='Box Library'!$F$4)</f>
        <v/>
      </c>
      <c r="I8" s="13">
        <f>AND($C8&lt;='Box Library'!$C$5,$D8&lt;='Box Library'!$D$5,$E8&lt;='Box Library'!$E$5,$F8&lt;='Box Library'!$F$5)</f>
        <v/>
      </c>
      <c r="J8" s="13">
        <f>AND($C8&lt;='Box Library'!$C$6,$D8&lt;='Box Library'!$D$6,$E8&lt;='Box Library'!$E$6,$F8&lt;='Box Library'!$F$6)</f>
        <v/>
      </c>
      <c r="K8" s="13">
        <f>AND($C8&lt;='Box Library'!$C$7,$D8&lt;='Box Library'!$D$7,$E8&lt;='Box Library'!$E$7,$F8&lt;='Box Library'!$F$7)</f>
        <v/>
      </c>
      <c r="L8" s="13">
        <f>AND($C8&lt;='Box Library'!$C$8,$D8&lt;='Box Library'!$D$8,$E8&lt;='Box Library'!$E$8,$F8&lt;='Box Library'!$F$8)</f>
        <v/>
      </c>
      <c r="M8" s="13">
        <f>IF(H8,'Box Library'!$A$4,IF(I8,'Box Library'!$A$5,IF(J8,'Box Library'!$A$6,IF(K8,'Box Library'!$A$7,IF(L8,'Box Library'!$A$8,"NO BOX FITS")))))</f>
        <v/>
      </c>
      <c r="N8" s="15">
        <f>IF(H8,'Box Library'!$G$4,IF(I8,'Box Library'!$G$5,IF(J8,'Box Library'!$G$6,IF(K8,'Box Library'!$G$7,IF(L8,'Box Library'!$G$8,0)))))</f>
        <v/>
      </c>
      <c r="O8" s="16">
        <f>IF(M8="NO BOX FITS",0,G8/(IF(H8,'Box Library'!$H$4,IF(I8,'Box Library'!$H$5,IF(J8,'Box Library'!$H$6,IF(K8,'Box Library'!$H$7,'Box Library'!$H$8))))))</f>
        <v/>
      </c>
      <c r="P8" s="6">
        <f>IF(M8="NO BOX FITS","REVIEW - NO STANDARD BOX FITS","OK")</f>
        <v/>
      </c>
    </row>
    <row r="9">
      <c r="A9" s="13">
        <f>'Product Data'!A9</f>
        <v/>
      </c>
      <c r="B9" s="13">
        <f>'Product Data'!B9</f>
        <v/>
      </c>
      <c r="C9" s="14">
        <f>'Product Data'!C9</f>
        <v/>
      </c>
      <c r="D9" s="14">
        <f>'Product Data'!D9</f>
        <v/>
      </c>
      <c r="E9" s="14">
        <f>'Product Data'!E9</f>
        <v/>
      </c>
      <c r="F9" s="14">
        <f>'Product Data'!F9</f>
        <v/>
      </c>
      <c r="G9" s="9">
        <f>C9*D9*E9</f>
        <v/>
      </c>
      <c r="H9" s="13">
        <f>AND($C9&lt;='Box Library'!$C$4,$D9&lt;='Box Library'!$D$4,$E9&lt;='Box Library'!$E$4,$F9&lt;='Box Library'!$F$4)</f>
        <v/>
      </c>
      <c r="I9" s="13">
        <f>AND($C9&lt;='Box Library'!$C$5,$D9&lt;='Box Library'!$D$5,$E9&lt;='Box Library'!$E$5,$F9&lt;='Box Library'!$F$5)</f>
        <v/>
      </c>
      <c r="J9" s="13">
        <f>AND($C9&lt;='Box Library'!$C$6,$D9&lt;='Box Library'!$D$6,$E9&lt;='Box Library'!$E$6,$F9&lt;='Box Library'!$F$6)</f>
        <v/>
      </c>
      <c r="K9" s="13">
        <f>AND($C9&lt;='Box Library'!$C$7,$D9&lt;='Box Library'!$D$7,$E9&lt;='Box Library'!$E$7,$F9&lt;='Box Library'!$F$7)</f>
        <v/>
      </c>
      <c r="L9" s="13">
        <f>AND($C9&lt;='Box Library'!$C$8,$D9&lt;='Box Library'!$D$8,$E9&lt;='Box Library'!$E$8,$F9&lt;='Box Library'!$F$8)</f>
        <v/>
      </c>
      <c r="M9" s="13">
        <f>IF(H9,'Box Library'!$A$4,IF(I9,'Box Library'!$A$5,IF(J9,'Box Library'!$A$6,IF(K9,'Box Library'!$A$7,IF(L9,'Box Library'!$A$8,"NO BOX FITS")))))</f>
        <v/>
      </c>
      <c r="N9" s="15">
        <f>IF(H9,'Box Library'!$G$4,IF(I9,'Box Library'!$G$5,IF(J9,'Box Library'!$G$6,IF(K9,'Box Library'!$G$7,IF(L9,'Box Library'!$G$8,0)))))</f>
        <v/>
      </c>
      <c r="O9" s="16">
        <f>IF(M9="NO BOX FITS",0,G9/(IF(H9,'Box Library'!$H$4,IF(I9,'Box Library'!$H$5,IF(J9,'Box Library'!$H$6,IF(K9,'Box Library'!$H$7,'Box Library'!$H$8))))))</f>
        <v/>
      </c>
      <c r="P9" s="6">
        <f>IF(M9="NO BOX FITS","REVIEW - NO STANDARD BOX FITS","OK")</f>
        <v/>
      </c>
    </row>
    <row r="10">
      <c r="A10" s="13">
        <f>'Product Data'!A10</f>
        <v/>
      </c>
      <c r="B10" s="13">
        <f>'Product Data'!B10</f>
        <v/>
      </c>
      <c r="C10" s="14">
        <f>'Product Data'!C10</f>
        <v/>
      </c>
      <c r="D10" s="14">
        <f>'Product Data'!D10</f>
        <v/>
      </c>
      <c r="E10" s="14">
        <f>'Product Data'!E10</f>
        <v/>
      </c>
      <c r="F10" s="14">
        <f>'Product Data'!F10</f>
        <v/>
      </c>
      <c r="G10" s="9">
        <f>C10*D10*E10</f>
        <v/>
      </c>
      <c r="H10" s="13">
        <f>AND($C10&lt;='Box Library'!$C$4,$D10&lt;='Box Library'!$D$4,$E10&lt;='Box Library'!$E$4,$F10&lt;='Box Library'!$F$4)</f>
        <v/>
      </c>
      <c r="I10" s="13">
        <f>AND($C10&lt;='Box Library'!$C$5,$D10&lt;='Box Library'!$D$5,$E10&lt;='Box Library'!$E$5,$F10&lt;='Box Library'!$F$5)</f>
        <v/>
      </c>
      <c r="J10" s="13">
        <f>AND($C10&lt;='Box Library'!$C$6,$D10&lt;='Box Library'!$D$6,$E10&lt;='Box Library'!$E$6,$F10&lt;='Box Library'!$F$6)</f>
        <v/>
      </c>
      <c r="K10" s="13">
        <f>AND($C10&lt;='Box Library'!$C$7,$D10&lt;='Box Library'!$D$7,$E10&lt;='Box Library'!$E$7,$F10&lt;='Box Library'!$F$7)</f>
        <v/>
      </c>
      <c r="L10" s="13">
        <f>AND($C10&lt;='Box Library'!$C$8,$D10&lt;='Box Library'!$D$8,$E10&lt;='Box Library'!$E$8,$F10&lt;='Box Library'!$F$8)</f>
        <v/>
      </c>
      <c r="M10" s="13">
        <f>IF(H10,'Box Library'!$A$4,IF(I10,'Box Library'!$A$5,IF(J10,'Box Library'!$A$6,IF(K10,'Box Library'!$A$7,IF(L10,'Box Library'!$A$8,"NO BOX FITS")))))</f>
        <v/>
      </c>
      <c r="N10" s="15">
        <f>IF(H10,'Box Library'!$G$4,IF(I10,'Box Library'!$G$5,IF(J10,'Box Library'!$G$6,IF(K10,'Box Library'!$G$7,IF(L10,'Box Library'!$G$8,0)))))</f>
        <v/>
      </c>
      <c r="O10" s="16">
        <f>IF(M10="NO BOX FITS",0,G10/(IF(H10,'Box Library'!$H$4,IF(I10,'Box Library'!$H$5,IF(J10,'Box Library'!$H$6,IF(K10,'Box Library'!$H$7,'Box Library'!$H$8))))))</f>
        <v/>
      </c>
      <c r="P10" s="6">
        <f>IF(M10="NO BOX FITS","REVIEW - NO STANDARD BOX FITS","OK")</f>
        <v/>
      </c>
    </row>
    <row r="11">
      <c r="A11" s="13">
        <f>'Product Data'!A11</f>
        <v/>
      </c>
      <c r="B11" s="13">
        <f>'Product Data'!B11</f>
        <v/>
      </c>
      <c r="C11" s="14">
        <f>'Product Data'!C11</f>
        <v/>
      </c>
      <c r="D11" s="14">
        <f>'Product Data'!D11</f>
        <v/>
      </c>
      <c r="E11" s="14">
        <f>'Product Data'!E11</f>
        <v/>
      </c>
      <c r="F11" s="14">
        <f>'Product Data'!F11</f>
        <v/>
      </c>
      <c r="G11" s="9">
        <f>C11*D11*E11</f>
        <v/>
      </c>
      <c r="H11" s="13">
        <f>AND($C11&lt;='Box Library'!$C$4,$D11&lt;='Box Library'!$D$4,$E11&lt;='Box Library'!$E$4,$F11&lt;='Box Library'!$F$4)</f>
        <v/>
      </c>
      <c r="I11" s="13">
        <f>AND($C11&lt;='Box Library'!$C$5,$D11&lt;='Box Library'!$D$5,$E11&lt;='Box Library'!$E$5,$F11&lt;='Box Library'!$F$5)</f>
        <v/>
      </c>
      <c r="J11" s="13">
        <f>AND($C11&lt;='Box Library'!$C$6,$D11&lt;='Box Library'!$D$6,$E11&lt;='Box Library'!$E$6,$F11&lt;='Box Library'!$F$6)</f>
        <v/>
      </c>
      <c r="K11" s="13">
        <f>AND($C11&lt;='Box Library'!$C$7,$D11&lt;='Box Library'!$D$7,$E11&lt;='Box Library'!$E$7,$F11&lt;='Box Library'!$F$7)</f>
        <v/>
      </c>
      <c r="L11" s="13">
        <f>AND($C11&lt;='Box Library'!$C$8,$D11&lt;='Box Library'!$D$8,$E11&lt;='Box Library'!$E$8,$F11&lt;='Box Library'!$F$8)</f>
        <v/>
      </c>
      <c r="M11" s="13">
        <f>IF(H11,'Box Library'!$A$4,IF(I11,'Box Library'!$A$5,IF(J11,'Box Library'!$A$6,IF(K11,'Box Library'!$A$7,IF(L11,'Box Library'!$A$8,"NO BOX FITS")))))</f>
        <v/>
      </c>
      <c r="N11" s="15">
        <f>IF(H11,'Box Library'!$G$4,IF(I11,'Box Library'!$G$5,IF(J11,'Box Library'!$G$6,IF(K11,'Box Library'!$G$7,IF(L11,'Box Library'!$G$8,0)))))</f>
        <v/>
      </c>
      <c r="O11" s="16">
        <f>IF(M11="NO BOX FITS",0,G11/(IF(H11,'Box Library'!$H$4,IF(I11,'Box Library'!$H$5,IF(J11,'Box Library'!$H$6,IF(K11,'Box Library'!$H$7,'Box Library'!$H$8))))))</f>
        <v/>
      </c>
      <c r="P11" s="6">
        <f>IF(M11="NO BOX FITS","REVIEW - NO STANDARD BOX FITS","OK")</f>
        <v/>
      </c>
    </row>
  </sheetData>
  <conditionalFormatting sqref="P2:P11">
    <cfRule type="cellIs" priority="1" operator="equal" dxfId="0">
      <formula>"OK"</formula>
    </cfRule>
    <cfRule type="cellIs" priority="2" operator="equal" dxfId="1">
      <formula>"REVIEW - NO STANDARD BOX FITS"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D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0" customWidth="1" min="3" max="3"/>
    <col width="20" customWidth="1" min="4" max="4"/>
  </cols>
  <sheetData>
    <row r="2">
      <c r="B2" s="1" t="inlineStr">
        <is>
          <t>Box-Fit Summary</t>
        </is>
      </c>
    </row>
    <row r="4">
      <c r="B4" s="2" t="inlineStr">
        <is>
          <t>Total Products Checked</t>
        </is>
      </c>
      <c r="D4" s="17">
        <f>COUNTA('Fit Checker'!A2:A11)</f>
        <v/>
      </c>
    </row>
    <row r="5">
      <c r="B5" s="2" t="inlineStr">
        <is>
          <t>Products with No Fitting Box</t>
        </is>
      </c>
      <c r="D5" s="17">
        <f>COUNTIF('Fit Checker'!P2:P11,"REVIEW - NO STANDARD BOX FITS")</f>
        <v/>
      </c>
    </row>
    <row r="6">
      <c r="B6" s="2" t="inlineStr">
        <is>
          <t>Total Recommended Packaging Cost (Rs)</t>
        </is>
      </c>
      <c r="D6" s="18">
        <f>SUM('Fit Checker'!N2:N11)</f>
        <v/>
      </c>
    </row>
    <row r="7">
      <c r="B7" s="2" t="inlineStr">
        <is>
          <t>Average Space Utilization (%)</t>
        </is>
      </c>
      <c r="D7" s="19">
        <f>AVERAGEIF('Fit Checker'!P2:P11,"OK",'Fit Checker'!O2:O11)</f>
        <v/>
      </c>
    </row>
    <row r="9">
      <c r="B9" s="2" t="inlineStr">
        <is>
          <t>Box Usage Breakdown</t>
        </is>
      </c>
    </row>
    <row r="11">
      <c r="B11" s="5" t="inlineStr">
        <is>
          <t>Box Code</t>
        </is>
      </c>
      <c r="C11" s="5" t="inlineStr">
        <is>
          <t>Products Assigned</t>
        </is>
      </c>
    </row>
    <row r="12">
      <c r="B12" s="6" t="inlineStr">
        <is>
          <t>BX1</t>
        </is>
      </c>
      <c r="C12" s="6">
        <f>COUNTIF('Fit Checker'!$M$2:$M$11,B12)</f>
        <v/>
      </c>
    </row>
    <row r="13">
      <c r="B13" s="6" t="inlineStr">
        <is>
          <t>BX2</t>
        </is>
      </c>
      <c r="C13" s="6">
        <f>COUNTIF('Fit Checker'!$M$2:$M$11,B13)</f>
        <v/>
      </c>
    </row>
    <row r="14">
      <c r="B14" s="6" t="inlineStr">
        <is>
          <t>BX3</t>
        </is>
      </c>
      <c r="C14" s="6">
        <f>COUNTIF('Fit Checker'!$M$2:$M$11,B14)</f>
        <v/>
      </c>
    </row>
    <row r="15">
      <c r="B15" s="6" t="inlineStr">
        <is>
          <t>BX4</t>
        </is>
      </c>
      <c r="C15" s="6">
        <f>COUNTIF('Fit Checker'!$M$2:$M$11,B15)</f>
        <v/>
      </c>
    </row>
    <row r="16">
      <c r="B16" s="6" t="inlineStr">
        <is>
          <t>BX5</t>
        </is>
      </c>
      <c r="C16" s="6">
        <f>COUNTIF('Fit Checker'!$M$2:$M$11,B16)</f>
        <v/>
      </c>
    </row>
    <row r="17">
      <c r="B17" s="6" t="inlineStr">
        <is>
          <t>NO BOX FITS</t>
        </is>
      </c>
      <c r="C17" s="6">
        <f>COUNTIF('Fit Checker'!$M$2:$M$11,B17)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2026-07-06T07:02:23Z</dcterms:created>
  <dcterms:modified xmlns:dcterms="http://purl.org/dc/terms/" xmlns:xsi="http://www.w3.org/2001/XMLSchema-instance" xsi:type="dcterms:W3CDTF">2026-07-06T07:02:23Z</dcterms:modified>
</cp:coreProperties>
</file>